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y\OneDrive\Desktop\"/>
    </mc:Choice>
  </mc:AlternateContent>
  <xr:revisionPtr revIDLastSave="0" documentId="13_ncr:1_{FD7AAFDA-8C65-432F-97D0-B7AC6476C586}" xr6:coauthVersionLast="47" xr6:coauthVersionMax="47" xr10:uidLastSave="{00000000-0000-0000-0000-000000000000}"/>
  <bookViews>
    <workbookView xWindow="-120" yWindow="-120" windowWidth="20640" windowHeight="11160" tabRatio="677" activeTab="4" xr2:uid="{00000000-000D-0000-FFFF-FFFF00000000}"/>
  </bookViews>
  <sheets>
    <sheet name="Source" sheetId="1" r:id="rId1"/>
    <sheet name="hi protein" sheetId="2" r:id="rId2"/>
    <sheet name="simple gelatin 13g" sheetId="3" r:id="rId3"/>
    <sheet name="hi protein 17g" sheetId="4" r:id="rId4"/>
    <sheet name="Oct 16 batch" sheetId="7" r:id="rId5"/>
    <sheet name="June14batch" sheetId="5" r:id="rId6"/>
    <sheet name="June15batch" sheetId="6" r:id="rId7"/>
  </sheets>
  <definedNames>
    <definedName name="_xlnm._FilterDatabase" localSheetId="0" hidden="1">Source!$C$25:$L$99</definedName>
    <definedName name="Btbl" localSheetId="0">Source!$C$26:$L$101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0" i="7" l="1"/>
  <c r="G10" i="7"/>
  <c r="H10" i="7"/>
  <c r="I10" i="7"/>
  <c r="J10" i="7"/>
  <c r="E10" i="7"/>
  <c r="E8" i="7"/>
  <c r="J17" i="4"/>
  <c r="I17" i="4"/>
  <c r="H17" i="4"/>
  <c r="G17" i="4"/>
  <c r="F17" i="4"/>
  <c r="E17" i="4"/>
  <c r="A17" i="4"/>
  <c r="J14" i="4"/>
  <c r="I14" i="4"/>
  <c r="H14" i="4"/>
  <c r="G14" i="4"/>
  <c r="F14" i="4"/>
  <c r="E14" i="4"/>
  <c r="A14" i="4"/>
  <c r="J9" i="4"/>
  <c r="I9" i="4"/>
  <c r="H9" i="4"/>
  <c r="G9" i="4"/>
  <c r="F9" i="4"/>
  <c r="E9" i="4"/>
  <c r="A9" i="4"/>
  <c r="J17" i="2"/>
  <c r="I17" i="2"/>
  <c r="H17" i="2"/>
  <c r="G17" i="2"/>
  <c r="F17" i="2"/>
  <c r="E17" i="2"/>
  <c r="A17" i="2"/>
  <c r="J14" i="2"/>
  <c r="I14" i="2"/>
  <c r="H14" i="2"/>
  <c r="G14" i="2"/>
  <c r="F14" i="2"/>
  <c r="E14" i="2"/>
  <c r="A14" i="2"/>
  <c r="J9" i="2"/>
  <c r="I9" i="2"/>
  <c r="H9" i="2"/>
  <c r="G9" i="2"/>
  <c r="F9" i="2"/>
  <c r="E9" i="2"/>
  <c r="A9" i="2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L17" i="1"/>
  <c r="K17" i="1"/>
  <c r="J17" i="1"/>
  <c r="I17" i="1"/>
  <c r="H17" i="1"/>
  <c r="A17" i="1" s="1"/>
  <c r="G17" i="1"/>
  <c r="F17" i="1"/>
  <c r="E17" i="1"/>
  <c r="L16" i="1"/>
  <c r="K16" i="1"/>
  <c r="J16" i="1"/>
  <c r="I16" i="1"/>
  <c r="H16" i="1"/>
  <c r="G16" i="1"/>
  <c r="F16" i="1"/>
  <c r="A16" i="1" s="1"/>
  <c r="E16" i="1"/>
  <c r="L15" i="1"/>
  <c r="K15" i="1"/>
  <c r="J15" i="1"/>
  <c r="I15" i="1"/>
  <c r="H15" i="1"/>
  <c r="G15" i="1"/>
  <c r="F15" i="1"/>
  <c r="A15" i="1" s="1"/>
  <c r="E15" i="1"/>
  <c r="L14" i="1"/>
  <c r="K14" i="1"/>
  <c r="J14" i="1"/>
  <c r="I14" i="1"/>
  <c r="H14" i="1"/>
  <c r="G14" i="1"/>
  <c r="A14" i="1" s="1"/>
  <c r="F14" i="1"/>
  <c r="E14" i="1"/>
  <c r="L13" i="1"/>
  <c r="K13" i="1"/>
  <c r="J13" i="1"/>
  <c r="I13" i="1"/>
  <c r="H13" i="1"/>
  <c r="A13" i="1" s="1"/>
  <c r="G13" i="1"/>
  <c r="F13" i="1"/>
  <c r="E13" i="1"/>
  <c r="L12" i="1"/>
  <c r="K12" i="1"/>
  <c r="J12" i="1"/>
  <c r="I12" i="1"/>
  <c r="H12" i="1"/>
  <c r="G12" i="1"/>
  <c r="F12" i="1"/>
  <c r="A12" i="1" s="1"/>
  <c r="E12" i="1"/>
  <c r="L11" i="1"/>
  <c r="K11" i="1"/>
  <c r="J11" i="1"/>
  <c r="I11" i="1"/>
  <c r="H11" i="1"/>
  <c r="G11" i="1"/>
  <c r="F11" i="1"/>
  <c r="A11" i="1" s="1"/>
  <c r="E11" i="1"/>
  <c r="L10" i="1"/>
  <c r="K10" i="1"/>
  <c r="J10" i="1"/>
  <c r="I10" i="1"/>
  <c r="H10" i="1"/>
  <c r="G10" i="1"/>
  <c r="A10" i="1" s="1"/>
  <c r="F10" i="1"/>
  <c r="E10" i="1"/>
  <c r="L9" i="1"/>
  <c r="K9" i="1"/>
  <c r="J9" i="1"/>
  <c r="I9" i="1"/>
  <c r="H9" i="1"/>
  <c r="A9" i="1" s="1"/>
  <c r="G9" i="1"/>
  <c r="F9" i="1"/>
  <c r="E9" i="1"/>
  <c r="L8" i="1"/>
  <c r="K8" i="1"/>
  <c r="J8" i="1"/>
  <c r="I8" i="1"/>
  <c r="H8" i="1"/>
  <c r="G8" i="1"/>
  <c r="F8" i="1"/>
  <c r="A8" i="1" s="1"/>
  <c r="E8" i="1"/>
  <c r="L7" i="1"/>
  <c r="K7" i="1"/>
  <c r="J7" i="1"/>
  <c r="I7" i="1"/>
  <c r="H7" i="1"/>
  <c r="G7" i="1"/>
  <c r="F7" i="1"/>
  <c r="E7" i="1"/>
  <c r="L6" i="1"/>
  <c r="K6" i="1"/>
  <c r="J6" i="1"/>
  <c r="I6" i="1"/>
  <c r="H6" i="1"/>
  <c r="G6" i="1"/>
  <c r="F6" i="1"/>
  <c r="E6" i="1"/>
  <c r="L5" i="1"/>
  <c r="K5" i="1"/>
  <c r="J5" i="1"/>
  <c r="I5" i="1"/>
  <c r="H5" i="1"/>
  <c r="G5" i="1"/>
  <c r="F5" i="1"/>
  <c r="E5" i="1"/>
  <c r="L4" i="1"/>
  <c r="K4" i="1"/>
  <c r="J4" i="1"/>
  <c r="I4" i="1"/>
  <c r="H4" i="1"/>
  <c r="G4" i="1"/>
  <c r="F4" i="1"/>
  <c r="E4" i="1"/>
  <c r="L3" i="1"/>
  <c r="K3" i="1"/>
  <c r="J3" i="1"/>
  <c r="J18" i="1" s="1"/>
  <c r="J20" i="1" s="1"/>
  <c r="I3" i="1"/>
  <c r="I18" i="1" s="1"/>
  <c r="I20" i="1" s="1"/>
  <c r="H3" i="1"/>
  <c r="H18" i="1" s="1"/>
  <c r="H20" i="1" s="1"/>
  <c r="G3" i="1"/>
  <c r="F3" i="1"/>
  <c r="E3" i="1"/>
  <c r="E18" i="1" s="1"/>
  <c r="E20" i="1" s="1"/>
  <c r="L2" i="1"/>
  <c r="K2" i="1"/>
  <c r="J2" i="1"/>
  <c r="J21" i="1" s="1"/>
  <c r="I2" i="1"/>
  <c r="I21" i="1" s="1"/>
  <c r="H2" i="1"/>
  <c r="H21" i="1" s="1"/>
  <c r="G2" i="1"/>
  <c r="G21" i="1" s="1"/>
  <c r="F2" i="1"/>
  <c r="F21" i="1" s="1"/>
  <c r="E2" i="1"/>
  <c r="E21" i="1" s="1"/>
  <c r="D2" i="1"/>
  <c r="C2" i="1"/>
  <c r="A2" i="1"/>
  <c r="A7" i="1" l="1"/>
  <c r="A6" i="1"/>
  <c r="A5" i="1"/>
  <c r="G18" i="1"/>
  <c r="G20" i="1" s="1"/>
  <c r="A4" i="1"/>
  <c r="A3" i="1"/>
  <c r="F18" i="1"/>
  <c r="F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8" authorId="0" shapeId="0" xr:uid="{00000000-0006-0000-0000-000001000000}">
      <text>
        <r>
          <rPr>
            <sz val="10"/>
            <rFont val="Arial"/>
            <family val="2"/>
          </rPr>
          <t>Calories at the right are confirmed and double-checked.  This calculation lacks something.</t>
        </r>
      </text>
    </comment>
    <comment ref="A62" authorId="0" shapeId="0" xr:uid="{00000000-0006-0000-0000-000002000000}">
      <text>
        <r>
          <rPr>
            <sz val="10"/>
            <rFont val="Arial"/>
            <family val="2"/>
          </rPr>
          <t xml:space="preserve">Calories at the right are confirmed and double-checked. </t>
        </r>
      </text>
    </comment>
  </commentList>
</comments>
</file>

<file path=xl/sharedStrings.xml><?xml version="1.0" encoding="utf-8"?>
<sst xmlns="http://schemas.openxmlformats.org/spreadsheetml/2006/main" count="721" uniqueCount="220">
  <si>
    <t/>
  </si>
  <si>
    <t>Row no.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</si>
  <si>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</si>
  <si>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</si>
  <si>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</si>
  <si>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</si>
  <si>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</si>
  <si>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</si>
  <si>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</si>
  <si>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</si>
  <si>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</si>
  <si>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</si>
  <si>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</si>
  <si>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</si>
  <si>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</si>
  <si>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</si>
  <si>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</si>
  <si>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TOTAL</t>
  </si>
  <si>
    <t>Number of servings</t>
  </si>
  <si>
    <t>8 muffins is always the target, but can be changed.</t>
  </si>
  <si>
    <t>Nutrition per serving</t>
  </si>
  <si>
    <t>Items must be sorted for VLOOKUP</t>
  </si>
  <si>
    <t>Column No. →</t>
  </si>
  <si>
    <t>Calorie check</t>
  </si>
  <si>
    <t>Meal Type</t>
  </si>
  <si>
    <t>Food</t>
  </si>
  <si>
    <t>Grams total</t>
  </si>
  <si>
    <t>Calories</t>
  </si>
  <si>
    <t>Fat g</t>
  </si>
  <si>
    <t>Protein g</t>
  </si>
  <si>
    <t>Carbs g</t>
  </si>
  <si>
    <t>Fiber g</t>
  </si>
  <si>
    <t>Sugar g</t>
  </si>
  <si>
    <t>Default g/volume</t>
  </si>
  <si>
    <t>Food type</t>
  </si>
  <si>
    <t>Baking</t>
  </si>
  <si>
    <t>Almond slices</t>
  </si>
  <si>
    <t>1 tbsp is 4.38 g</t>
  </si>
  <si>
    <t>Nuts</t>
  </si>
  <si>
    <t>Almonds whole roasted</t>
  </si>
  <si>
    <t>23 pcs /30 g</t>
  </si>
  <si>
    <t>Apple Fuji</t>
  </si>
  <si>
    <t>98g per cup</t>
  </si>
  <si>
    <t>Fruits, FRESH</t>
  </si>
  <si>
    <t>Apple Washington Red Del</t>
  </si>
  <si>
    <t>Dessert</t>
  </si>
  <si>
    <t>Apricots dried</t>
  </si>
  <si>
    <t>6.7g/piece</t>
  </si>
  <si>
    <t>Fruits, dried</t>
  </si>
  <si>
    <t>Avocado</t>
  </si>
  <si>
    <t>201g in 1 piece</t>
  </si>
  <si>
    <t>Blueberries dried</t>
  </si>
  <si>
    <t>40g in ¼ cup</t>
  </si>
  <si>
    <t>Blueberries fresh</t>
  </si>
  <si>
    <t>0.42cup is 80g</t>
  </si>
  <si>
    <t>Brazil nuts raw</t>
  </si>
  <si>
    <t>10 pcs/ 30g</t>
  </si>
  <si>
    <t>Butter</t>
  </si>
  <si>
    <t>1 Tbsp is 14.2g</t>
  </si>
  <si>
    <t>Fats</t>
  </si>
  <si>
    <t>Cacao nibs</t>
  </si>
  <si>
    <t>1 tbsp is 11.34g</t>
  </si>
  <si>
    <t>Topping</t>
  </si>
  <si>
    <t>Cashews raw</t>
  </si>
  <si>
    <t>15 halves in 30g</t>
  </si>
  <si>
    <t>Cashews roasted</t>
  </si>
  <si>
    <t>Cheese cheddar shredded</t>
  </si>
  <si>
    <t>29.4 g in 2 tbsp</t>
  </si>
  <si>
    <t>Cheese</t>
  </si>
  <si>
    <t>Cheese cream cheese</t>
  </si>
  <si>
    <t>1 tbsp is 15g</t>
  </si>
  <si>
    <t>Cheese mozzarella shredded</t>
  </si>
  <si>
    <t>28.1 g in 2 tbsp</t>
  </si>
  <si>
    <t>Cheese parmesan Kraft</t>
  </si>
  <si>
    <t>2 tsp is 5g</t>
  </si>
  <si>
    <t>Cherries dried</t>
  </si>
  <si>
    <t>6 pieces is 15g</t>
  </si>
  <si>
    <t>Chia seeds</t>
  </si>
  <si>
    <t>15g in 1 tbsp</t>
  </si>
  <si>
    <t>Seeds</t>
  </si>
  <si>
    <t>Cinnamon dash</t>
  </si>
  <si>
    <t>0.69g in ¼ tsp</t>
  </si>
  <si>
    <t>Flavoring</t>
  </si>
  <si>
    <t>Cocoa powder Goya</t>
  </si>
  <si>
    <t>8 g/ 2 Tbsp</t>
  </si>
  <si>
    <t>Cocoa powder Hershey’s</t>
  </si>
  <si>
    <t>5 g/ 1 Tbsp</t>
  </si>
  <si>
    <t>Cranberries dried sweetened</t>
  </si>
  <si>
    <t>10g in 1 tbsp</t>
  </si>
  <si>
    <t>Cream Coconut</t>
  </si>
  <si>
    <t>&lt; 1 cup is 100g</t>
  </si>
  <si>
    <t>Cream Nestle All Purpose</t>
  </si>
  <si>
    <t>1 cup is 244g</t>
  </si>
  <si>
    <t>Cream Sour</t>
  </si>
  <si>
    <t>61.3g in ¼ cup</t>
  </si>
  <si>
    <t>Dates dried</t>
  </si>
  <si>
    <t>2 pieces is 40g</t>
  </si>
  <si>
    <t>Egg albumen powder</t>
  </si>
  <si>
    <t>1 tbsp is 7g</t>
  </si>
  <si>
    <t>Protein</t>
  </si>
  <si>
    <t>Egg plain</t>
  </si>
  <si>
    <t>1 large is 50g</t>
  </si>
  <si>
    <t>Erythritol granules</t>
  </si>
  <si>
    <t>51g per ¼ cup</t>
  </si>
  <si>
    <t>Sweetener</t>
  </si>
  <si>
    <t>Ferna gelatin powder</t>
  </si>
  <si>
    <t>9.4g powder/ tbsp</t>
  </si>
  <si>
    <t>FIBER Oat</t>
  </si>
  <si>
    <t>9g/ tbsp powder</t>
  </si>
  <si>
    <t>Fiber</t>
  </si>
  <si>
    <t>FIBER Psyllium</t>
  </si>
  <si>
    <t>16g/ tbsp powder</t>
  </si>
  <si>
    <t>Figs dried</t>
  </si>
  <si>
    <t>1 piece</t>
  </si>
  <si>
    <t>Flour Almond</t>
  </si>
  <si>
    <t>¼ cup is 24 g</t>
  </si>
  <si>
    <t>Flour</t>
  </si>
  <si>
    <t>Flour Coconut</t>
  </si>
  <si>
    <t>¼ cup is 28 g</t>
  </si>
  <si>
    <t>Flour Oat BRAN</t>
  </si>
  <si>
    <t>120g per 1 cup</t>
  </si>
  <si>
    <t>Flour Oat WHOLE</t>
  </si>
  <si>
    <t>Garbanzos Chickpeas</t>
  </si>
  <si>
    <t>100g per ½ cup</t>
  </si>
  <si>
    <t>Ghirardelli Semi-sweet Chocolate Chips</t>
  </si>
  <si>
    <t>34 chips per 15g Tbsp</t>
  </si>
  <si>
    <t>Hershey’s Semi Sweet Chocolate Chips</t>
  </si>
  <si>
    <t>1 Tbsp is 15g</t>
  </si>
  <si>
    <t>Hershey’s Spec Dark Choc Chips</t>
  </si>
  <si>
    <t>Lily’s Dark No Sugar Added Chocolate chips</t>
  </si>
  <si>
    <t>24 chips per 14g Tbsp</t>
  </si>
  <si>
    <t>Lindt 70% Dark Chocolate Bar</t>
  </si>
  <si>
    <t>1 square is 10g</t>
  </si>
  <si>
    <t>Chocolate</t>
  </si>
  <si>
    <t>Lindt 85% Dark Chocolate Bar</t>
  </si>
  <si>
    <t>Lindt 90% Dark Chocolate Bar</t>
  </si>
  <si>
    <t>Macadamia nuts raw</t>
  </si>
  <si>
    <t>1 Tbsp is 8g</t>
  </si>
  <si>
    <t>Mayonnaise Best Foods Real</t>
  </si>
  <si>
    <t>1 Tbsp is 13g</t>
  </si>
  <si>
    <t>Mayonnaise Kewpie</t>
  </si>
  <si>
    <t>1 tbsp is 14.4g</t>
  </si>
  <si>
    <t>Mayonnaise Lady’s Choice Real</t>
  </si>
  <si>
    <t>Milk Almond Unsweetened</t>
  </si>
  <si>
    <t>103 g/ 100 ml</t>
  </si>
  <si>
    <t>Milk</t>
  </si>
  <si>
    <t>Milk Coconut</t>
  </si>
  <si>
    <t>Milk Lowfat</t>
  </si>
  <si>
    <t>100g in 100 ml</t>
  </si>
  <si>
    <t>Monkfruit Erythritol granules</t>
  </si>
  <si>
    <t>Oat bran whole</t>
  </si>
  <si>
    <t>¼ cup is 54.75g</t>
  </si>
  <si>
    <t>Olive oil</t>
  </si>
  <si>
    <t>2 Tbsp is 28g</t>
  </si>
  <si>
    <t>Peanut butter Lene</t>
  </si>
  <si>
    <t>1 Tbsp is 12g</t>
  </si>
  <si>
    <t>Peanut butter Skippy</t>
  </si>
  <si>
    <t>2 Tbsp is 32g</t>
  </si>
  <si>
    <t>Pecans raw</t>
  </si>
  <si>
    <t>1.5 g / piece</t>
  </si>
  <si>
    <t>Protein powder pea</t>
  </si>
  <si>
    <t>10g per scoop</t>
  </si>
  <si>
    <t>Pumpkin Squash seeds</t>
  </si>
  <si>
    <t>1 tbsp is 7.44g</t>
  </si>
  <si>
    <t>Raisins golden</t>
  </si>
  <si>
    <t>1 Tbsp is 9.7g</t>
  </si>
  <si>
    <t>Raisins sultanas</t>
  </si>
  <si>
    <t>&gt; 1 Tbsp is 10g</t>
  </si>
  <si>
    <t>Reese’s peanut butter chips</t>
  </si>
  <si>
    <t>45 pcs / 15g TBSP</t>
  </si>
  <si>
    <t>Salt pinch</t>
  </si>
  <si>
    <t>0.575g in ¼ tsp</t>
  </si>
  <si>
    <t>Sesame seeds</t>
  </si>
  <si>
    <t>1 tbsp is 9g</t>
  </si>
  <si>
    <t>Stevia drops</t>
  </si>
  <si>
    <t>1g is 2 squirts</t>
  </si>
  <si>
    <t>Sunflower seeds roasted hulled</t>
  </si>
  <si>
    <t>1 tbsp is 10g</t>
  </si>
  <si>
    <t>Unsweetened Chocolate Baking Bar</t>
  </si>
  <si>
    <t>look at package</t>
  </si>
  <si>
    <t>Vanilla extract</t>
  </si>
  <si>
    <t>1 tsp is 4.2g</t>
  </si>
  <si>
    <t>Walnuts raw</t>
  </si>
  <si>
    <t>14 halves in 30g</t>
  </si>
  <si>
    <t>Xanthan gum</t>
  </si>
  <si>
    <t>½ tsp is 0.8g</t>
  </si>
  <si>
    <t>Yogurt BTIC NF Greek</t>
  </si>
  <si>
    <t>1 cup is 245g</t>
  </si>
  <si>
    <t>Yogurt</t>
  </si>
  <si>
    <t>Yogurt DVF Greek</t>
  </si>
  <si>
    <t>1 cup is 280g</t>
  </si>
  <si>
    <t>Yogurt Emborg</t>
  </si>
  <si>
    <t>Yogurt Nestle Plain</t>
  </si>
  <si>
    <t>Baking powder</t>
  </si>
  <si>
    <t>4.6g per tsp</t>
  </si>
  <si>
    <t>Leavening</t>
  </si>
  <si>
    <t>Kalamansi Juice pure</t>
  </si>
  <si>
    <t>2g per tbsp</t>
  </si>
  <si>
    <t>Milk Powder Lowfat</t>
  </si>
  <si>
    <t>5g per tbsp</t>
  </si>
  <si>
    <t>Milk Powder Bear Brand</t>
  </si>
  <si>
    <t>7g per tbsp</t>
  </si>
  <si>
    <t>THIS ONE HAS NO EGG WHITE POWDER</t>
  </si>
  <si>
    <t>Flour, Almond</t>
  </si>
  <si>
    <t>FIBER, Psyllium</t>
  </si>
  <si>
    <t>FIBER, Oat</t>
  </si>
  <si>
    <t>Cocoa powder, Hershey’s</t>
  </si>
  <si>
    <t>Yogurt, DVF Greek</t>
  </si>
  <si>
    <t>Egg, plain</t>
  </si>
  <si>
    <t>Peanut butter, Lene</t>
  </si>
  <si>
    <t>Milk, Almond, Unsweetened</t>
  </si>
  <si>
    <t>Salt, pinch</t>
  </si>
  <si>
    <t>Cocoa powder, Goya</t>
  </si>
  <si>
    <t>Gelatin 4 tbsp</t>
  </si>
  <si>
    <t>Monkfruit 4 tbsp</t>
  </si>
  <si>
    <t>Almond milk 200 ml</t>
  </si>
  <si>
    <t>Vanilla extract 1 tsp</t>
  </si>
  <si>
    <t>Cocoa powder 2 tbsp</t>
  </si>
  <si>
    <t>THIS ONE HAS EGG WHITE POWDER.  ADD LOTS AND LOTS OF WATER!</t>
  </si>
  <si>
    <t>90g per 1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</si>
</sst>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dd\ mmmm\ yyyy"/>
    <numFmt numFmtId="166" formatCode="d\ mmmm\ yyyy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color rgb="FFE6E6FF"/>
      <name val="Arial"/>
      <family val="2"/>
    </font>
    <font>
      <sz val="10"/>
      <color rgb="FFF2F2FF"/>
      <name val="Arial"/>
      <family val="2"/>
    </font>
    <font>
      <sz val="10"/>
      <color rgb="FF666666"/>
      <name val="Arial"/>
      <family val="2"/>
    </font>
    <font>
      <sz val="10"/>
      <color rgb="FF000080"/>
      <name val="Arial"/>
      <family val="2"/>
    </font>
    <font>
      <sz val="10"/>
      <color rgb="FFD13308"/>
      <name val="Arial"/>
      <family val="2"/>
    </font>
    <font>
      <b/>
      <sz val="10"/>
      <color rgb="FF000080"/>
      <name val="Arial"/>
      <family val="2"/>
    </font>
    <font>
      <b/>
      <sz val="10"/>
      <color rgb="FF999999"/>
      <name val="Arial"/>
      <family val="2"/>
    </font>
    <font>
      <b/>
      <sz val="16"/>
      <color rgb="FF808080"/>
      <name val="Arial Narrow"/>
      <family val="2"/>
    </font>
    <font>
      <sz val="10"/>
      <color rgb="FF808080"/>
      <name val="Arial"/>
      <family val="2"/>
    </font>
    <font>
      <b/>
      <sz val="14"/>
      <color rgb="FF808080"/>
      <name val="Arial Narrow"/>
      <family val="2"/>
    </font>
    <font>
      <b/>
      <sz val="10"/>
      <color rgb="FF80808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4C4C4C"/>
      <name val="Arial"/>
      <family val="2"/>
    </font>
    <font>
      <sz val="10"/>
      <color rgb="FFB3B3B3"/>
      <name val="Arial"/>
      <family val="2"/>
    </font>
    <font>
      <b/>
      <sz val="11"/>
      <color rgb="FFCCFFFF"/>
      <name val="Arial"/>
      <family val="2"/>
    </font>
    <font>
      <b/>
      <sz val="16"/>
      <color rgb="FFCCFFFF"/>
      <name val="Arial Narrow"/>
      <family val="2"/>
    </font>
    <font>
      <b/>
      <sz val="14"/>
      <color rgb="FFCCFFFF"/>
      <name val="Arial Narrow"/>
      <family val="2"/>
    </font>
    <font>
      <sz val="10"/>
      <color rgb="FFCCFFFF"/>
      <name val="Arial"/>
      <family val="2"/>
    </font>
    <font>
      <b/>
      <sz val="10"/>
      <color rgb="FFCCFFFF"/>
      <name val="Arial"/>
      <family val="2"/>
    </font>
    <font>
      <sz val="9"/>
      <color rgb="FF000080"/>
      <name val="Arial"/>
      <family val="2"/>
    </font>
    <font>
      <sz val="9"/>
      <name val="Arial"/>
      <family val="2"/>
    </font>
    <font>
      <sz val="9"/>
      <color rgb="FFD13308"/>
      <name val="Arial"/>
      <family val="2"/>
    </font>
    <font>
      <b/>
      <sz val="9"/>
      <color rgb="FF000080"/>
      <name val="Arial"/>
      <family val="2"/>
    </font>
    <font>
      <b/>
      <sz val="9"/>
      <color rgb="FF999999"/>
      <name val="Arial"/>
      <family val="2"/>
    </font>
    <font>
      <b/>
      <sz val="9"/>
      <color rgb="FF808080"/>
      <name val="Arial Narrow"/>
      <family val="2"/>
    </font>
    <font>
      <sz val="9"/>
      <color rgb="FF808080"/>
      <name val="Arial"/>
      <family val="2"/>
    </font>
    <font>
      <b/>
      <sz val="9"/>
      <color rgb="FF80808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6E6FF"/>
        <bgColor rgb="FFF2F2FF"/>
      </patternFill>
    </fill>
    <fill>
      <patternFill patternType="solid">
        <fgColor rgb="FFFFFF00"/>
        <bgColor rgb="FFE6E64C"/>
      </patternFill>
    </fill>
    <fill>
      <patternFill patternType="solid">
        <fgColor rgb="FFEBC6BC"/>
        <bgColor rgb="FFCCCCFF"/>
      </patternFill>
    </fill>
    <fill>
      <patternFill patternType="solid">
        <fgColor rgb="FFFFFFCC"/>
        <bgColor rgb="FFFFFF99"/>
      </patternFill>
    </fill>
    <fill>
      <patternFill patternType="solid">
        <fgColor rgb="FFFFD320"/>
        <bgColor rgb="FFE6E64C"/>
      </patternFill>
    </fill>
    <fill>
      <patternFill patternType="solid">
        <fgColor rgb="FF808080"/>
        <bgColor rgb="FF999999"/>
      </patternFill>
    </fill>
    <fill>
      <patternFill patternType="solid">
        <fgColor rgb="FFE6E64C"/>
        <bgColor rgb="FFFFD320"/>
      </patternFill>
    </fill>
    <fill>
      <patternFill patternType="solid">
        <fgColor rgb="FFFF8080"/>
        <bgColor rgb="FFFF99CC"/>
      </patternFill>
    </fill>
    <fill>
      <patternFill patternType="solid">
        <fgColor rgb="FFFF6633"/>
        <bgColor rgb="FFFF8080"/>
      </patternFill>
    </fill>
    <fill>
      <patternFill patternType="solid">
        <fgColor rgb="FF00DCFF"/>
        <bgColor rgb="FF00FFFF"/>
      </patternFill>
    </fill>
    <fill>
      <patternFill patternType="solid">
        <fgColor rgb="FF23FF23"/>
        <bgColor rgb="FF33CCCC"/>
      </patternFill>
    </fill>
  </fills>
  <borders count="4">
    <border>
      <left/>
      <right/>
      <top/>
      <bottom/>
      <diagonal/>
    </border>
    <border>
      <left style="dotted">
        <color rgb="FFE6E6FF"/>
      </left>
      <right style="dotted">
        <color rgb="FFE6E6FF"/>
      </right>
      <top style="dotted">
        <color rgb="FFE6E6FF"/>
      </top>
      <bottom style="dotted">
        <color rgb="FFE6E6FF"/>
      </bottom>
      <diagonal/>
    </border>
    <border>
      <left style="dotted">
        <color rgb="FFE6E6FF"/>
      </left>
      <right style="dotted">
        <color rgb="FFE6E6FF"/>
      </right>
      <top style="dotted">
        <color rgb="FFE6E6FF"/>
      </top>
      <bottom style="thin">
        <color rgb="FFB3B3B3"/>
      </bottom>
      <diagonal/>
    </border>
    <border>
      <left style="dotted">
        <color rgb="FFE6E6FF"/>
      </left>
      <right style="dotted">
        <color rgb="FFE6E6FF"/>
      </right>
      <top style="dotted">
        <color rgb="FFE6E6FF"/>
      </top>
      <bottom style="hair">
        <color rgb="FFE6E6FF"/>
      </bottom>
      <diagonal/>
    </border>
  </borders>
  <cellStyleXfs count="5">
    <xf numFmtId="0" fontId="0" fillId="0" borderId="0"/>
    <xf numFmtId="0" fontId="2" fillId="0" borderId="0" applyBorder="0" applyAlignment="0" applyProtection="0"/>
    <xf numFmtId="0" fontId="2" fillId="0" borderId="0" applyBorder="0" applyAlignment="0" applyProtection="0"/>
    <xf numFmtId="0" fontId="3" fillId="0" borderId="0" applyBorder="0" applyAlignment="0" applyProtection="0"/>
    <xf numFmtId="0" fontId="1" fillId="2" borderId="0" applyFont="0" applyBorder="0" applyAlignment="0" applyProtection="0"/>
  </cellStyleXfs>
  <cellXfs count="139">
    <xf numFmtId="0" fontId="0" fillId="0" borderId="0" xfId="0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3" fontId="6" fillId="2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center"/>
    </xf>
    <xf numFmtId="3" fontId="8" fillId="2" borderId="0" xfId="0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9" fillId="2" borderId="0" xfId="0" applyFont="1" applyFill="1" applyAlignment="1">
      <alignment horizontal="center"/>
    </xf>
    <xf numFmtId="3" fontId="9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1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13" fillId="4" borderId="0" xfId="0" applyFont="1" applyFill="1"/>
    <xf numFmtId="0" fontId="14" fillId="4" borderId="0" xfId="0" applyFont="1" applyFill="1" applyAlignment="1">
      <alignment horizontal="right" wrapText="1"/>
    </xf>
    <xf numFmtId="0" fontId="13" fillId="4" borderId="0" xfId="0" applyFont="1" applyFill="1" applyAlignment="1">
      <alignment horizontal="center"/>
    </xf>
    <xf numFmtId="0" fontId="13" fillId="4" borderId="0" xfId="0" applyFont="1" applyFill="1" applyAlignment="1">
      <alignment horizontal="left"/>
    </xf>
    <xf numFmtId="0" fontId="15" fillId="4" borderId="0" xfId="0" applyFont="1" applyFill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3" fontId="6" fillId="5" borderId="1" xfId="0" applyNumberFormat="1" applyFont="1" applyFill="1" applyBorder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3" fontId="6" fillId="5" borderId="2" xfId="0" applyNumberFormat="1" applyFont="1" applyFill="1" applyBorder="1" applyAlignment="1">
      <alignment horizontal="center"/>
    </xf>
    <xf numFmtId="164" fontId="6" fillId="5" borderId="2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164" fontId="6" fillId="0" borderId="3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7" fillId="0" borderId="0" xfId="0" applyFont="1"/>
    <xf numFmtId="0" fontId="5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3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6" borderId="0" xfId="0" applyFont="1" applyFill="1" applyAlignment="1">
      <alignment horizontal="right"/>
    </xf>
    <xf numFmtId="0" fontId="9" fillId="6" borderId="0" xfId="0" applyFont="1" applyFill="1" applyAlignment="1">
      <alignment horizontal="center"/>
    </xf>
    <xf numFmtId="3" fontId="9" fillId="6" borderId="0" xfId="0" applyNumberFormat="1" applyFont="1" applyFill="1" applyAlignment="1">
      <alignment horizontal="center"/>
    </xf>
    <xf numFmtId="0" fontId="10" fillId="6" borderId="0" xfId="0" applyFont="1" applyFill="1" applyAlignment="1">
      <alignment horizontal="left"/>
    </xf>
    <xf numFmtId="0" fontId="10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3" fontId="11" fillId="6" borderId="0" xfId="0" applyNumberFormat="1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0" fillId="7" borderId="0" xfId="0" applyFill="1"/>
    <xf numFmtId="0" fontId="5" fillId="8" borderId="0" xfId="0" applyFont="1" applyFill="1" applyAlignment="1">
      <alignment horizontal="center"/>
    </xf>
    <xf numFmtId="0" fontId="5" fillId="8" borderId="0" xfId="0" applyFont="1" applyFill="1" applyAlignment="1">
      <alignment horizontal="right"/>
    </xf>
    <xf numFmtId="0" fontId="9" fillId="8" borderId="0" xfId="0" applyFont="1" applyFill="1" applyAlignment="1">
      <alignment horizontal="center"/>
    </xf>
    <xf numFmtId="3" fontId="9" fillId="8" borderId="0" xfId="0" applyNumberFormat="1" applyFont="1" applyFill="1" applyAlignment="1">
      <alignment horizontal="center"/>
    </xf>
    <xf numFmtId="0" fontId="10" fillId="8" borderId="0" xfId="0" applyFont="1" applyFill="1" applyAlignment="1">
      <alignment horizontal="left"/>
    </xf>
    <xf numFmtId="0" fontId="10" fillId="8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3" fontId="11" fillId="8" borderId="0" xfId="0" applyNumberFormat="1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0" fillId="9" borderId="0" xfId="0" applyFill="1"/>
    <xf numFmtId="0" fontId="5" fillId="9" borderId="0" xfId="0" applyFont="1" applyFill="1" applyAlignment="1">
      <alignment horizontal="center"/>
    </xf>
    <xf numFmtId="0" fontId="5" fillId="9" borderId="0" xfId="0" applyFont="1" applyFill="1" applyAlignment="1">
      <alignment horizontal="right"/>
    </xf>
    <xf numFmtId="0" fontId="9" fillId="9" borderId="0" xfId="0" applyFont="1" applyFill="1" applyAlignment="1">
      <alignment horizontal="center"/>
    </xf>
    <xf numFmtId="3" fontId="9" fillId="9" borderId="0" xfId="0" applyNumberFormat="1" applyFont="1" applyFill="1" applyAlignment="1">
      <alignment horizontal="center"/>
    </xf>
    <xf numFmtId="0" fontId="10" fillId="9" borderId="0" xfId="0" applyFont="1" applyFill="1" applyAlignment="1">
      <alignment horizontal="left"/>
    </xf>
    <xf numFmtId="0" fontId="10" fillId="9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3" fontId="11" fillId="9" borderId="0" xfId="0" applyNumberFormat="1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5" fillId="10" borderId="0" xfId="0" applyFont="1" applyFill="1" applyAlignment="1">
      <alignment horizontal="left"/>
    </xf>
    <xf numFmtId="0" fontId="18" fillId="10" borderId="0" xfId="0" applyFont="1" applyFill="1" applyAlignment="1">
      <alignment horizontal="left"/>
    </xf>
    <xf numFmtId="0" fontId="5" fillId="10" borderId="0" xfId="0" applyFont="1" applyFill="1" applyAlignment="1">
      <alignment horizontal="center"/>
    </xf>
    <xf numFmtId="0" fontId="5" fillId="10" borderId="0" xfId="0" applyFont="1" applyFill="1" applyAlignment="1">
      <alignment horizontal="right"/>
    </xf>
    <xf numFmtId="0" fontId="19" fillId="10" borderId="0" xfId="0" applyFont="1" applyFill="1" applyAlignment="1">
      <alignment horizontal="center"/>
    </xf>
    <xf numFmtId="3" fontId="19" fillId="10" borderId="0" xfId="0" applyNumberFormat="1" applyFont="1" applyFill="1" applyAlignment="1">
      <alignment horizontal="center"/>
    </xf>
    <xf numFmtId="0" fontId="10" fillId="10" borderId="0" xfId="0" applyFont="1" applyFill="1" applyAlignment="1">
      <alignment horizontal="left"/>
    </xf>
    <xf numFmtId="0" fontId="10" fillId="10" borderId="0" xfId="0" applyFont="1" applyFill="1" applyAlignment="1">
      <alignment horizontal="center"/>
    </xf>
    <xf numFmtId="0" fontId="20" fillId="10" borderId="0" xfId="0" applyFont="1" applyFill="1" applyAlignment="1">
      <alignment horizontal="center"/>
    </xf>
    <xf numFmtId="0" fontId="21" fillId="10" borderId="0" xfId="0" applyFont="1" applyFill="1" applyAlignment="1">
      <alignment horizontal="center"/>
    </xf>
    <xf numFmtId="3" fontId="20" fillId="10" borderId="0" xfId="0" applyNumberFormat="1" applyFont="1" applyFill="1" applyAlignment="1">
      <alignment horizontal="center"/>
    </xf>
    <xf numFmtId="0" fontId="22" fillId="10" borderId="0" xfId="0" applyFon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0" fontId="5" fillId="11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3" fontId="9" fillId="11" borderId="0" xfId="0" applyNumberFormat="1" applyFont="1" applyFill="1" applyAlignment="1">
      <alignment horizontal="center"/>
    </xf>
    <xf numFmtId="0" fontId="10" fillId="11" borderId="0" xfId="0" applyFont="1" applyFill="1" applyAlignment="1">
      <alignment horizontal="left"/>
    </xf>
    <xf numFmtId="0" fontId="11" fillId="11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3" fontId="11" fillId="11" borderId="0" xfId="0" applyNumberFormat="1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166" fontId="0" fillId="0" borderId="0" xfId="0" applyNumberFormat="1"/>
    <xf numFmtId="0" fontId="5" fillId="12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3" fontId="9" fillId="12" borderId="0" xfId="0" applyNumberFormat="1" applyFont="1" applyFill="1" applyAlignment="1">
      <alignment horizontal="center"/>
    </xf>
    <xf numFmtId="0" fontId="10" fillId="12" borderId="0" xfId="0" applyFont="1" applyFill="1" applyAlignment="1">
      <alignment horizontal="left"/>
    </xf>
    <xf numFmtId="0" fontId="11" fillId="12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3" fontId="11" fillId="12" borderId="0" xfId="0" applyNumberFormat="1" applyFont="1" applyFill="1" applyAlignment="1">
      <alignment horizontal="center"/>
    </xf>
    <xf numFmtId="0" fontId="12" fillId="1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4" fillId="0" borderId="0" xfId="0" applyFont="1"/>
    <xf numFmtId="3" fontId="25" fillId="2" borderId="0" xfId="0" applyNumberFormat="1" applyFont="1" applyFill="1" applyAlignment="1">
      <alignment horizontal="center"/>
    </xf>
    <xf numFmtId="0" fontId="26" fillId="3" borderId="0" xfId="0" applyFont="1" applyFill="1" applyAlignment="1">
      <alignment horizontal="left"/>
    </xf>
    <xf numFmtId="0" fontId="26" fillId="3" borderId="0" xfId="0" applyFont="1" applyFill="1" applyAlignment="1">
      <alignment horizontal="center"/>
    </xf>
    <xf numFmtId="3" fontId="27" fillId="2" borderId="0" xfId="0" applyNumberFormat="1" applyFont="1" applyFill="1" applyAlignment="1">
      <alignment horizontal="center"/>
    </xf>
    <xf numFmtId="164" fontId="27" fillId="2" borderId="0" xfId="0" applyNumberFormat="1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23" fillId="2" borderId="0" xfId="0" applyFont="1" applyFill="1" applyAlignment="1">
      <alignment horizontal="right"/>
    </xf>
    <xf numFmtId="0" fontId="28" fillId="2" borderId="0" xfId="0" applyFont="1" applyFill="1" applyAlignment="1">
      <alignment horizontal="center"/>
    </xf>
    <xf numFmtId="3" fontId="28" fillId="2" borderId="0" xfId="0" applyNumberFormat="1" applyFont="1" applyFill="1" applyAlignment="1">
      <alignment horizontal="center"/>
    </xf>
    <xf numFmtId="0" fontId="29" fillId="2" borderId="0" xfId="0" applyFont="1" applyFill="1" applyAlignment="1">
      <alignment horizontal="left"/>
    </xf>
    <xf numFmtId="0" fontId="29" fillId="2" borderId="0" xfId="0" applyFont="1" applyFill="1" applyAlignment="1">
      <alignment horizontal="center"/>
    </xf>
    <xf numFmtId="0" fontId="28" fillId="3" borderId="0" xfId="0" applyFont="1" applyFill="1" applyAlignment="1">
      <alignment horizontal="center"/>
    </xf>
    <xf numFmtId="0" fontId="30" fillId="2" borderId="0" xfId="0" applyFont="1" applyFill="1" applyAlignment="1">
      <alignment horizontal="left"/>
    </xf>
    <xf numFmtId="0" fontId="30" fillId="2" borderId="0" xfId="0" applyFont="1" applyFill="1" applyAlignment="1">
      <alignment horizontal="center"/>
    </xf>
  </cellXfs>
  <cellStyles count="5">
    <cellStyle name="Dim" xfId="2" xr:uid="{00000000-0005-0000-0000-000007000000}"/>
    <cellStyle name="Dim2" xfId="3" xr:uid="{00000000-0005-0000-0000-000008000000}"/>
    <cellStyle name="Grayed" xfId="4" xr:uid="{00000000-0005-0000-0000-000009000000}"/>
    <cellStyle name="Normal" xfId="0" builtinId="0"/>
    <cellStyle name="Untitled1" xfId="1" xr:uid="{00000000-0005-0000-0000-000006000000}"/>
  </cellStyles>
  <dxfs count="7">
    <dxf>
      <font>
        <color rgb="FFF2F2FF"/>
      </font>
    </dxf>
    <dxf>
      <font>
        <color rgb="FFF2F2FF"/>
      </font>
    </dxf>
    <dxf>
      <font>
        <color rgb="FFF2F2FF"/>
      </font>
    </dxf>
    <dxf>
      <font>
        <color rgb="FFF2F2FF"/>
      </font>
    </dxf>
    <dxf>
      <font>
        <color rgb="FFF2F2FF"/>
      </font>
    </dxf>
    <dxf>
      <font>
        <color rgb="FFF2F2FF"/>
      </font>
    </dxf>
    <dxf>
      <font>
        <color rgb="FFF2F2FF"/>
      </font>
    </dxf>
  </dxfs>
  <tableStyles count="0" defaultTableStyle="TableStyleMedium2" defaultPivotStyle="PivotStyleLight16"/>
  <colors>
    <indexedColors>
      <rgbColor rgb="FF000000"/>
      <rgbColor rgb="FFF2F2FF"/>
      <rgbColor rgb="FFFF0000"/>
      <rgbColor rgb="FF23FF23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E6E64C"/>
      <rgbColor rgb="FF00FFFF"/>
      <rgbColor rgb="FF800080"/>
      <rgbColor rgb="FF800000"/>
      <rgbColor rgb="FF008080"/>
      <rgbColor rgb="FF0000FF"/>
      <rgbColor rgb="FF00DCFF"/>
      <rgbColor rgb="FFE6E6FF"/>
      <rgbColor rgb="FFCCFFCC"/>
      <rgbColor rgb="FFFFFF99"/>
      <rgbColor rgb="FF99CCFF"/>
      <rgbColor rgb="FFFF99CC"/>
      <rgbColor rgb="FFCC99FF"/>
      <rgbColor rgb="FFEBC6BC"/>
      <rgbColor rgb="FF3366FF"/>
      <rgbColor rgb="FF33CCCC"/>
      <rgbColor rgb="FF99CC00"/>
      <rgbColor rgb="FFFFD320"/>
      <rgbColor rgb="FFFF9900"/>
      <rgbColor rgb="FFFF6633"/>
      <rgbColor rgb="FF666666"/>
      <rgbColor rgb="FF999999"/>
      <rgbColor rgb="FF003366"/>
      <rgbColor rgb="FF339966"/>
      <rgbColor rgb="FF003300"/>
      <rgbColor rgb="FF333300"/>
      <rgbColor rgb="FFD13308"/>
      <rgbColor rgb="FF993366"/>
      <rgbColor rgb="FF333399"/>
      <rgbColor rgb="FF4C4C4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Push Button 1" descr="Reset Muffin Builde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anchor="ctr">
          <a:noAutofit/>
        </a:bodyPr>
        <a:lstStyle/>
        <a:p>
          <a:r>
            <a:t>Reset Muffin Builder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H107"/>
  <sheetViews>
    <sheetView showGridLines="0"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2" sqref="A2:L21"/>
    </sheetView>
  </sheetViews>
  <sheetFormatPr defaultColWidth="11.5703125" defaultRowHeight="12.75" x14ac:dyDescent="0.2"/>
  <cols>
    <col min="1" max="1" width="11.42578125" style="1" customWidth="1"/>
    <col min="2" max="2" width="8.28515625" style="1" customWidth="1"/>
    <col min="3" max="3" width="31.28515625" style="1" customWidth="1"/>
    <col min="4" max="4" width="11.5703125" style="1" customWidth="1"/>
    <col min="5" max="10" width="9.85546875" style="1" customWidth="1"/>
    <col min="11" max="11" width="19.7109375" style="1" customWidth="1"/>
    <col min="12" max="12" width="13.5703125" style="1" customWidth="1"/>
    <col min="13" max="1022" width="11.5703125" style="1"/>
  </cols>
  <sheetData>
    <row r="1" spans="1:12" ht="31.9" customHeight="1" x14ac:dyDescent="0.2">
      <c r="A1" s="2" t="s">
        <v>0</v>
      </c>
      <c r="B1" s="2"/>
      <c r="C1" s="3"/>
      <c r="D1" s="3"/>
      <c r="E1" s="2"/>
      <c r="F1" s="3"/>
      <c r="G1" s="3"/>
      <c r="H1" s="3"/>
      <c r="I1" s="3"/>
      <c r="J1" s="3"/>
      <c r="K1" s="3"/>
      <c r="L1" s="3"/>
    </row>
    <row r="2" spans="1:12" x14ac:dyDescent="0.2">
      <c r="A2" s="3" t="str">
        <f>A25</f>
        <v>Calorie check</v>
      </c>
      <c r="B2" s="3" t="s">
        <v>1</v>
      </c>
      <c r="C2" s="3" t="str">
        <f t="shared" ref="C2:L2" si="0">C25</f>
        <v>Food</v>
      </c>
      <c r="D2" s="3" t="str">
        <f t="shared" si="0"/>
        <v>Grams total</v>
      </c>
      <c r="E2" s="3" t="str">
        <f t="shared" si="0"/>
        <v>Calories</v>
      </c>
      <c r="F2" s="3" t="str">
        <f t="shared" si="0"/>
        <v>Fat g</v>
      </c>
      <c r="G2" s="3" t="str">
        <f t="shared" si="0"/>
        <v>Protein g</v>
      </c>
      <c r="H2" s="3" t="str">
        <f t="shared" si="0"/>
        <v>Carbs g</v>
      </c>
      <c r="I2" s="3" t="str">
        <f t="shared" si="0"/>
        <v>Fiber g</v>
      </c>
      <c r="J2" s="3" t="str">
        <f t="shared" si="0"/>
        <v>Sugar g</v>
      </c>
      <c r="K2" s="3" t="str">
        <f t="shared" si="0"/>
        <v>Default g/volume</v>
      </c>
      <c r="L2" s="3" t="str">
        <f t="shared" si="0"/>
        <v>Food type</v>
      </c>
    </row>
    <row r="3" spans="1:12" x14ac:dyDescent="0.2">
      <c r="A3" s="4">
        <f t="shared" ref="A3:A17" si="1">F3*9+(G3+H3-I3)*4</f>
        <v>557.6</v>
      </c>
      <c r="B3" s="3" t="s">
        <v>2</v>
      </c>
      <c r="C3" s="5" t="s">
        <v>114</v>
      </c>
      <c r="D3" s="6">
        <v>96</v>
      </c>
      <c r="E3" s="7">
        <f t="shared" ref="E3:J17" si="2">$D3/VLOOKUP($C3,Btbl,$D$24)*VLOOKUP($C3,Btbl,E$24)</f>
        <v>560</v>
      </c>
      <c r="F3" s="8">
        <f t="shared" si="2"/>
        <v>48.8</v>
      </c>
      <c r="G3" s="8">
        <f t="shared" si="2"/>
        <v>20.8</v>
      </c>
      <c r="H3" s="8">
        <f t="shared" si="2"/>
        <v>19.2</v>
      </c>
      <c r="I3" s="8">
        <f t="shared" si="2"/>
        <v>10.4</v>
      </c>
      <c r="J3" s="8">
        <f t="shared" si="2"/>
        <v>4</v>
      </c>
      <c r="K3" s="9" t="str">
        <f t="shared" ref="K3:K17" si="3">IF($C3=0,"",VLOOKUP($C3,Btbl,K$24))</f>
        <v>¼ cup is 24 g</v>
      </c>
      <c r="L3" s="9" t="str">
        <f t="shared" ref="L3:L17" si="4">IF($D3=0,"",VLOOKUP($C3,Btbl,L$24))</f>
        <v>Flour</v>
      </c>
    </row>
    <row r="4" spans="1:12" x14ac:dyDescent="0.2">
      <c r="A4" s="4">
        <f t="shared" si="1"/>
        <v>805.96</v>
      </c>
      <c r="B4" s="3" t="s">
        <v>3</v>
      </c>
      <c r="C4" s="5" t="s">
        <v>66</v>
      </c>
      <c r="D4" s="6">
        <v>200</v>
      </c>
      <c r="E4" s="7">
        <f t="shared" si="2"/>
        <v>806</v>
      </c>
      <c r="F4" s="8">
        <f t="shared" si="2"/>
        <v>66.28</v>
      </c>
      <c r="G4" s="8">
        <f t="shared" si="2"/>
        <v>49.8</v>
      </c>
      <c r="H4" s="8">
        <f t="shared" si="2"/>
        <v>2.56</v>
      </c>
      <c r="I4" s="8">
        <f t="shared" si="2"/>
        <v>0</v>
      </c>
      <c r="J4" s="8">
        <f t="shared" si="2"/>
        <v>1.04</v>
      </c>
      <c r="K4" s="9" t="str">
        <f t="shared" si="3"/>
        <v>29.4 g in 2 tbsp</v>
      </c>
      <c r="L4" s="9" t="str">
        <f t="shared" si="4"/>
        <v>Cheese</v>
      </c>
    </row>
    <row r="5" spans="1:12" x14ac:dyDescent="0.2">
      <c r="A5" s="4">
        <f t="shared" si="1"/>
        <v>0</v>
      </c>
      <c r="B5" s="3" t="s">
        <v>4</v>
      </c>
      <c r="C5" s="5" t="s">
        <v>107</v>
      </c>
      <c r="D5" s="6">
        <v>36</v>
      </c>
      <c r="E5" s="7">
        <f t="shared" si="2"/>
        <v>0</v>
      </c>
      <c r="F5" s="8">
        <f t="shared" si="2"/>
        <v>0</v>
      </c>
      <c r="G5" s="8">
        <f t="shared" si="2"/>
        <v>0</v>
      </c>
      <c r="H5" s="8">
        <f t="shared" si="2"/>
        <v>27</v>
      </c>
      <c r="I5" s="8">
        <f t="shared" si="2"/>
        <v>27</v>
      </c>
      <c r="J5" s="8">
        <f t="shared" si="2"/>
        <v>0</v>
      </c>
      <c r="K5" s="9" t="str">
        <f t="shared" si="3"/>
        <v>9g/ tbsp powder</v>
      </c>
      <c r="L5" s="9" t="str">
        <f t="shared" si="4"/>
        <v>Fiber</v>
      </c>
    </row>
    <row r="6" spans="1:12" x14ac:dyDescent="0.2">
      <c r="A6" s="4">
        <f t="shared" si="1"/>
        <v>142.82</v>
      </c>
      <c r="B6" s="3" t="s">
        <v>5</v>
      </c>
      <c r="C6" s="5" t="s">
        <v>100</v>
      </c>
      <c r="D6" s="6">
        <v>100</v>
      </c>
      <c r="E6" s="7">
        <f t="shared" si="2"/>
        <v>148</v>
      </c>
      <c r="F6" s="8">
        <f t="shared" si="2"/>
        <v>9.94</v>
      </c>
      <c r="G6" s="8">
        <f t="shared" si="2"/>
        <v>12.54</v>
      </c>
      <c r="H6" s="8">
        <f t="shared" si="2"/>
        <v>0.8</v>
      </c>
      <c r="I6" s="8">
        <f t="shared" si="2"/>
        <v>0</v>
      </c>
      <c r="J6" s="8">
        <f t="shared" si="2"/>
        <v>0</v>
      </c>
      <c r="K6" s="9" t="str">
        <f t="shared" si="3"/>
        <v>1 large is 50g</v>
      </c>
      <c r="L6" s="9" t="str">
        <f t="shared" si="4"/>
        <v>Fats</v>
      </c>
    </row>
    <row r="7" spans="1:12" x14ac:dyDescent="0.2">
      <c r="A7" s="4">
        <f t="shared" si="1"/>
        <v>168.125</v>
      </c>
      <c r="B7" s="3" t="s">
        <v>6</v>
      </c>
      <c r="C7" s="5" t="s">
        <v>91</v>
      </c>
      <c r="D7" s="6">
        <v>61</v>
      </c>
      <c r="E7" s="7">
        <f t="shared" si="2"/>
        <v>168.75</v>
      </c>
      <c r="F7" s="8">
        <f t="shared" si="2"/>
        <v>16.875</v>
      </c>
      <c r="G7" s="8">
        <f t="shared" si="2"/>
        <v>1.5625</v>
      </c>
      <c r="H7" s="8">
        <f t="shared" si="2"/>
        <v>2.5</v>
      </c>
      <c r="I7" s="8">
        <f t="shared" si="2"/>
        <v>0</v>
      </c>
      <c r="J7" s="8">
        <f t="shared" si="2"/>
        <v>2.5</v>
      </c>
      <c r="K7" s="9" t="str">
        <f t="shared" si="3"/>
        <v>1 cup is 244g</v>
      </c>
      <c r="L7" s="9" t="str">
        <f t="shared" si="4"/>
        <v>Fats</v>
      </c>
    </row>
    <row r="8" spans="1:12" x14ac:dyDescent="0.2">
      <c r="A8" s="4" t="e">
        <f t="shared" si="1"/>
        <v>#N/A</v>
      </c>
      <c r="B8" s="3" t="s">
        <v>7</v>
      </c>
      <c r="C8" s="5"/>
      <c r="D8" s="6"/>
      <c r="E8" s="7" t="e">
        <f t="shared" si="2"/>
        <v>#N/A</v>
      </c>
      <c r="F8" s="8" t="e">
        <f t="shared" si="2"/>
        <v>#N/A</v>
      </c>
      <c r="G8" s="8" t="e">
        <f t="shared" si="2"/>
        <v>#N/A</v>
      </c>
      <c r="H8" s="8" t="e">
        <f t="shared" si="2"/>
        <v>#N/A</v>
      </c>
      <c r="I8" s="8" t="e">
        <f t="shared" si="2"/>
        <v>#N/A</v>
      </c>
      <c r="J8" s="8" t="e">
        <f t="shared" si="2"/>
        <v>#N/A</v>
      </c>
      <c r="K8" s="9" t="str">
        <f t="shared" si="3"/>
        <v/>
      </c>
      <c r="L8" s="9" t="str">
        <f t="shared" si="4"/>
        <v/>
      </c>
    </row>
    <row r="9" spans="1:12" x14ac:dyDescent="0.2">
      <c r="A9" s="4" t="e">
        <f t="shared" si="1"/>
        <v>#N/A</v>
      </c>
      <c r="B9" s="3" t="s">
        <v>8</v>
      </c>
      <c r="C9" s="5"/>
      <c r="D9" s="6"/>
      <c r="E9" s="7" t="e">
        <f t="shared" si="2"/>
        <v>#N/A</v>
      </c>
      <c r="F9" s="8" t="e">
        <f t="shared" si="2"/>
        <v>#N/A</v>
      </c>
      <c r="G9" s="8" t="e">
        <f t="shared" si="2"/>
        <v>#N/A</v>
      </c>
      <c r="H9" s="8" t="e">
        <f t="shared" si="2"/>
        <v>#N/A</v>
      </c>
      <c r="I9" s="8" t="e">
        <f t="shared" si="2"/>
        <v>#N/A</v>
      </c>
      <c r="J9" s="8" t="e">
        <f t="shared" si="2"/>
        <v>#N/A</v>
      </c>
      <c r="K9" s="9" t="str">
        <f t="shared" si="3"/>
        <v/>
      </c>
      <c r="L9" s="9" t="str">
        <f t="shared" si="4"/>
        <v/>
      </c>
    </row>
    <row r="10" spans="1:12" x14ac:dyDescent="0.2">
      <c r="A10" s="4" t="e">
        <f t="shared" si="1"/>
        <v>#N/A</v>
      </c>
      <c r="B10" s="3" t="s">
        <v>9</v>
      </c>
      <c r="C10" s="5"/>
      <c r="D10" s="6"/>
      <c r="E10" s="7" t="e">
        <f t="shared" si="2"/>
        <v>#N/A</v>
      </c>
      <c r="F10" s="8" t="e">
        <f t="shared" si="2"/>
        <v>#N/A</v>
      </c>
      <c r="G10" s="8" t="e">
        <f t="shared" si="2"/>
        <v>#N/A</v>
      </c>
      <c r="H10" s="8" t="e">
        <f t="shared" si="2"/>
        <v>#N/A</v>
      </c>
      <c r="I10" s="8" t="e">
        <f t="shared" si="2"/>
        <v>#N/A</v>
      </c>
      <c r="J10" s="8" t="e">
        <f t="shared" si="2"/>
        <v>#N/A</v>
      </c>
      <c r="K10" s="9" t="str">
        <f t="shared" si="3"/>
        <v/>
      </c>
      <c r="L10" s="9" t="str">
        <f t="shared" si="4"/>
        <v/>
      </c>
    </row>
    <row r="11" spans="1:12" x14ac:dyDescent="0.2">
      <c r="A11" s="4" t="e">
        <f t="shared" si="1"/>
        <v>#N/A</v>
      </c>
      <c r="B11" s="3" t="s">
        <v>10</v>
      </c>
      <c r="C11" s="5"/>
      <c r="D11" s="6"/>
      <c r="E11" s="7" t="e">
        <f t="shared" si="2"/>
        <v>#N/A</v>
      </c>
      <c r="F11" s="8" t="e">
        <f t="shared" si="2"/>
        <v>#N/A</v>
      </c>
      <c r="G11" s="8" t="e">
        <f t="shared" si="2"/>
        <v>#N/A</v>
      </c>
      <c r="H11" s="8" t="e">
        <f t="shared" si="2"/>
        <v>#N/A</v>
      </c>
      <c r="I11" s="8" t="e">
        <f t="shared" si="2"/>
        <v>#N/A</v>
      </c>
      <c r="J11" s="8" t="e">
        <f t="shared" si="2"/>
        <v>#N/A</v>
      </c>
      <c r="K11" s="9" t="str">
        <f t="shared" si="3"/>
        <v/>
      </c>
      <c r="L11" s="9" t="str">
        <f t="shared" si="4"/>
        <v/>
      </c>
    </row>
    <row r="12" spans="1:12" x14ac:dyDescent="0.2">
      <c r="A12" s="4" t="e">
        <f t="shared" si="1"/>
        <v>#N/A</v>
      </c>
      <c r="B12" s="3" t="s">
        <v>11</v>
      </c>
      <c r="C12" s="5"/>
      <c r="D12" s="6"/>
      <c r="E12" s="7" t="e">
        <f t="shared" si="2"/>
        <v>#N/A</v>
      </c>
      <c r="F12" s="8" t="e">
        <f t="shared" si="2"/>
        <v>#N/A</v>
      </c>
      <c r="G12" s="8" t="e">
        <f t="shared" si="2"/>
        <v>#N/A</v>
      </c>
      <c r="H12" s="8" t="e">
        <f t="shared" si="2"/>
        <v>#N/A</v>
      </c>
      <c r="I12" s="8" t="e">
        <f t="shared" si="2"/>
        <v>#N/A</v>
      </c>
      <c r="J12" s="8" t="e">
        <f t="shared" si="2"/>
        <v>#N/A</v>
      </c>
      <c r="K12" s="9" t="str">
        <f t="shared" si="3"/>
        <v/>
      </c>
      <c r="L12" s="9" t="str">
        <f t="shared" si="4"/>
        <v/>
      </c>
    </row>
    <row r="13" spans="1:12" x14ac:dyDescent="0.2">
      <c r="A13" s="4" t="e">
        <f t="shared" si="1"/>
        <v>#N/A</v>
      </c>
      <c r="B13" s="3" t="s">
        <v>12</v>
      </c>
      <c r="C13" s="5"/>
      <c r="D13" s="6"/>
      <c r="E13" s="7" t="e">
        <f t="shared" si="2"/>
        <v>#N/A</v>
      </c>
      <c r="F13" s="8" t="e">
        <f t="shared" si="2"/>
        <v>#N/A</v>
      </c>
      <c r="G13" s="8" t="e">
        <f t="shared" si="2"/>
        <v>#N/A</v>
      </c>
      <c r="H13" s="8" t="e">
        <f t="shared" si="2"/>
        <v>#N/A</v>
      </c>
      <c r="I13" s="8" t="e">
        <f t="shared" si="2"/>
        <v>#N/A</v>
      </c>
      <c r="J13" s="8" t="e">
        <f t="shared" si="2"/>
        <v>#N/A</v>
      </c>
      <c r="K13" s="9" t="str">
        <f t="shared" si="3"/>
        <v/>
      </c>
      <c r="L13" s="9" t="str">
        <f t="shared" si="4"/>
        <v/>
      </c>
    </row>
    <row r="14" spans="1:12" x14ac:dyDescent="0.2">
      <c r="A14" s="4" t="e">
        <f t="shared" si="1"/>
        <v>#N/A</v>
      </c>
      <c r="B14" s="3" t="s">
        <v>13</v>
      </c>
      <c r="C14" s="5"/>
      <c r="D14" s="6"/>
      <c r="E14" s="7" t="e">
        <f t="shared" si="2"/>
        <v>#N/A</v>
      </c>
      <c r="F14" s="8" t="e">
        <f t="shared" si="2"/>
        <v>#N/A</v>
      </c>
      <c r="G14" s="8" t="e">
        <f t="shared" si="2"/>
        <v>#N/A</v>
      </c>
      <c r="H14" s="8" t="e">
        <f t="shared" si="2"/>
        <v>#N/A</v>
      </c>
      <c r="I14" s="8" t="e">
        <f t="shared" si="2"/>
        <v>#N/A</v>
      </c>
      <c r="J14" s="8" t="e">
        <f t="shared" si="2"/>
        <v>#N/A</v>
      </c>
      <c r="K14" s="9" t="str">
        <f t="shared" si="3"/>
        <v/>
      </c>
      <c r="L14" s="9" t="str">
        <f t="shared" si="4"/>
        <v/>
      </c>
    </row>
    <row r="15" spans="1:12" x14ac:dyDescent="0.2">
      <c r="A15" s="4" t="e">
        <f t="shared" si="1"/>
        <v>#N/A</v>
      </c>
      <c r="B15" s="3" t="s">
        <v>14</v>
      </c>
      <c r="C15" s="5"/>
      <c r="D15" s="6"/>
      <c r="E15" s="7" t="e">
        <f t="shared" si="2"/>
        <v>#N/A</v>
      </c>
      <c r="F15" s="8" t="e">
        <f t="shared" si="2"/>
        <v>#N/A</v>
      </c>
      <c r="G15" s="8" t="e">
        <f t="shared" si="2"/>
        <v>#N/A</v>
      </c>
      <c r="H15" s="8" t="e">
        <f t="shared" si="2"/>
        <v>#N/A</v>
      </c>
      <c r="I15" s="8" t="e">
        <f t="shared" si="2"/>
        <v>#N/A</v>
      </c>
      <c r="J15" s="8" t="e">
        <f t="shared" si="2"/>
        <v>#N/A</v>
      </c>
      <c r="K15" s="9" t="str">
        <f t="shared" si="3"/>
        <v/>
      </c>
      <c r="L15" s="9" t="str">
        <f t="shared" si="4"/>
        <v/>
      </c>
    </row>
    <row r="16" spans="1:12" x14ac:dyDescent="0.2">
      <c r="A16" s="4" t="e">
        <f t="shared" si="1"/>
        <v>#N/A</v>
      </c>
      <c r="B16" s="3" t="s">
        <v>15</v>
      </c>
      <c r="C16" s="5"/>
      <c r="D16" s="6"/>
      <c r="E16" s="7" t="e">
        <f t="shared" si="2"/>
        <v>#N/A</v>
      </c>
      <c r="F16" s="8" t="e">
        <f t="shared" si="2"/>
        <v>#N/A</v>
      </c>
      <c r="G16" s="8" t="e">
        <f t="shared" si="2"/>
        <v>#N/A</v>
      </c>
      <c r="H16" s="8" t="e">
        <f t="shared" si="2"/>
        <v>#N/A</v>
      </c>
      <c r="I16" s="8" t="e">
        <f t="shared" si="2"/>
        <v>#N/A</v>
      </c>
      <c r="J16" s="8" t="e">
        <f t="shared" si="2"/>
        <v>#N/A</v>
      </c>
      <c r="K16" s="9" t="str">
        <f t="shared" si="3"/>
        <v/>
      </c>
      <c r="L16" s="9" t="str">
        <f t="shared" si="4"/>
        <v/>
      </c>
    </row>
    <row r="17" spans="1:13" x14ac:dyDescent="0.2">
      <c r="A17" s="4" t="e">
        <f t="shared" si="1"/>
        <v>#N/A</v>
      </c>
      <c r="B17" s="3" t="s">
        <v>16</v>
      </c>
      <c r="C17" s="5"/>
      <c r="D17" s="6"/>
      <c r="E17" s="7" t="e">
        <f t="shared" si="2"/>
        <v>#N/A</v>
      </c>
      <c r="F17" s="8" t="e">
        <f t="shared" si="2"/>
        <v>#N/A</v>
      </c>
      <c r="G17" s="8" t="e">
        <f t="shared" si="2"/>
        <v>#N/A</v>
      </c>
      <c r="H17" s="8" t="e">
        <f t="shared" si="2"/>
        <v>#N/A</v>
      </c>
      <c r="I17" s="8" t="e">
        <f t="shared" si="2"/>
        <v>#N/A</v>
      </c>
      <c r="J17" s="8" t="e">
        <f t="shared" si="2"/>
        <v>#N/A</v>
      </c>
      <c r="K17" s="9" t="str">
        <f t="shared" si="3"/>
        <v/>
      </c>
      <c r="L17" s="9" t="str">
        <f t="shared" si="4"/>
        <v/>
      </c>
    </row>
    <row r="18" spans="1:13" ht="20.25" x14ac:dyDescent="0.3">
      <c r="A18" s="3"/>
      <c r="B18" s="10"/>
      <c r="C18" s="11" t="s">
        <v>17</v>
      </c>
      <c r="D18" s="11"/>
      <c r="E18" s="12">
        <f t="shared" ref="E18:J18" si="5">SUMIF(E3:E17,"&gt;0")</f>
        <v>1682.75</v>
      </c>
      <c r="F18" s="12">
        <f t="shared" si="5"/>
        <v>141.89499999999998</v>
      </c>
      <c r="G18" s="12">
        <f t="shared" si="5"/>
        <v>84.702499999999986</v>
      </c>
      <c r="H18" s="12">
        <f t="shared" si="5"/>
        <v>52.059999999999995</v>
      </c>
      <c r="I18" s="12">
        <f t="shared" si="5"/>
        <v>37.4</v>
      </c>
      <c r="J18" s="12">
        <f t="shared" si="5"/>
        <v>7.54</v>
      </c>
      <c r="K18" s="13"/>
      <c r="L18" s="14"/>
    </row>
    <row r="19" spans="1:13" ht="18" x14ac:dyDescent="0.25">
      <c r="A19" s="3"/>
      <c r="B19" s="10"/>
      <c r="C19" s="15" t="s">
        <v>18</v>
      </c>
      <c r="D19" s="15"/>
      <c r="E19" s="16">
        <v>10</v>
      </c>
      <c r="F19" s="17" t="s">
        <v>19</v>
      </c>
      <c r="G19" s="14"/>
      <c r="H19" s="14"/>
      <c r="I19" s="14"/>
      <c r="J19" s="14"/>
      <c r="K19" s="13"/>
      <c r="L19" s="14"/>
    </row>
    <row r="20" spans="1:13" ht="18" x14ac:dyDescent="0.25">
      <c r="A20" s="3"/>
      <c r="B20" s="10"/>
      <c r="C20" s="15" t="s">
        <v>20</v>
      </c>
      <c r="D20" s="15"/>
      <c r="E20" s="18">
        <f t="shared" ref="E20:J20" si="6">IF($E$19=0,"",E18/$E$19)</f>
        <v>168.27500000000001</v>
      </c>
      <c r="F20" s="18">
        <f t="shared" si="6"/>
        <v>14.189499999999999</v>
      </c>
      <c r="G20" s="18">
        <f t="shared" si="6"/>
        <v>8.4702499999999983</v>
      </c>
      <c r="H20" s="18">
        <f t="shared" si="6"/>
        <v>5.2059999999999995</v>
      </c>
      <c r="I20" s="18">
        <f t="shared" si="6"/>
        <v>3.7399999999999998</v>
      </c>
      <c r="J20" s="18">
        <f t="shared" si="6"/>
        <v>0.754</v>
      </c>
      <c r="K20" s="13"/>
      <c r="L20" s="14"/>
    </row>
    <row r="21" spans="1:13" x14ac:dyDescent="0.2">
      <c r="A21" s="3"/>
      <c r="B21" s="10"/>
      <c r="C21" s="14"/>
      <c r="D21" s="14"/>
      <c r="E21" s="19" t="str">
        <f t="shared" ref="E21:J21" si="7">E2</f>
        <v>Calories</v>
      </c>
      <c r="F21" s="19" t="str">
        <f t="shared" si="7"/>
        <v>Fat g</v>
      </c>
      <c r="G21" s="19" t="str">
        <f t="shared" si="7"/>
        <v>Protein g</v>
      </c>
      <c r="H21" s="19" t="str">
        <f t="shared" si="7"/>
        <v>Carbs g</v>
      </c>
      <c r="I21" s="19" t="str">
        <f t="shared" si="7"/>
        <v>Fiber g</v>
      </c>
      <c r="J21" s="19" t="str">
        <f t="shared" si="7"/>
        <v>Sugar g</v>
      </c>
      <c r="K21" s="13"/>
      <c r="L21" s="14"/>
    </row>
    <row r="22" spans="1:13" x14ac:dyDescent="0.2">
      <c r="A22" s="20"/>
      <c r="B22" s="21"/>
      <c r="C22" s="20"/>
      <c r="D22" s="20"/>
      <c r="E22" s="20"/>
      <c r="F22" s="20"/>
      <c r="G22" s="20"/>
      <c r="H22" s="20"/>
      <c r="I22" s="20"/>
      <c r="J22" s="20"/>
      <c r="K22" s="22"/>
      <c r="L22" s="20"/>
    </row>
    <row r="23" spans="1:13" x14ac:dyDescent="0.2">
      <c r="A23" s="23"/>
      <c r="B23" s="24"/>
      <c r="C23" s="24" t="s">
        <v>21</v>
      </c>
      <c r="D23" s="25"/>
      <c r="E23" s="26"/>
      <c r="F23" s="26"/>
      <c r="G23" s="26"/>
      <c r="H23" s="26"/>
      <c r="I23" s="26"/>
      <c r="J23" s="26"/>
      <c r="K23" s="25"/>
      <c r="L23" s="25"/>
    </row>
    <row r="24" spans="1:13" x14ac:dyDescent="0.2">
      <c r="A24" s="25"/>
      <c r="B24" s="25"/>
      <c r="C24" s="25" t="s">
        <v>22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7">
        <v>9</v>
      </c>
      <c r="L24" s="25">
        <v>10</v>
      </c>
    </row>
    <row r="25" spans="1:13" x14ac:dyDescent="0.2">
      <c r="A25" s="23" t="s">
        <v>23</v>
      </c>
      <c r="B25" s="27" t="s">
        <v>24</v>
      </c>
      <c r="C25" s="27" t="s">
        <v>25</v>
      </c>
      <c r="D25" s="27" t="s">
        <v>26</v>
      </c>
      <c r="E25" s="27" t="s">
        <v>27</v>
      </c>
      <c r="F25" s="27" t="s">
        <v>28</v>
      </c>
      <c r="G25" s="27" t="s">
        <v>29</v>
      </c>
      <c r="H25" s="27" t="s">
        <v>30</v>
      </c>
      <c r="I25" s="27" t="s">
        <v>31</v>
      </c>
      <c r="J25" s="27" t="s">
        <v>32</v>
      </c>
      <c r="K25" s="27" t="s">
        <v>33</v>
      </c>
      <c r="L25" s="27" t="s">
        <v>34</v>
      </c>
      <c r="M25"/>
    </row>
    <row r="26" spans="1:13" x14ac:dyDescent="0.2">
      <c r="A26" s="28">
        <f t="shared" ref="A26:A57" si="8">F26*9+(G26+H26-I26)*4</f>
        <v>32.68</v>
      </c>
      <c r="B26" s="29" t="s">
        <v>35</v>
      </c>
      <c r="C26" s="30" t="s">
        <v>36</v>
      </c>
      <c r="D26" s="31">
        <v>5.75</v>
      </c>
      <c r="E26" s="31">
        <v>33.299999999999997</v>
      </c>
      <c r="F26" s="32">
        <v>2.88</v>
      </c>
      <c r="G26" s="32">
        <v>1.19</v>
      </c>
      <c r="H26" s="32">
        <v>1.25</v>
      </c>
      <c r="I26" s="32">
        <v>0.75</v>
      </c>
      <c r="J26" s="32">
        <v>0.25</v>
      </c>
      <c r="K26" s="33" t="s">
        <v>37</v>
      </c>
      <c r="L26" s="33" t="s">
        <v>38</v>
      </c>
      <c r="M26"/>
    </row>
    <row r="27" spans="1:13" x14ac:dyDescent="0.2">
      <c r="A27" s="28">
        <f t="shared" si="8"/>
        <v>183.05099999999999</v>
      </c>
      <c r="B27" s="29" t="s">
        <v>35</v>
      </c>
      <c r="C27" s="30" t="s">
        <v>39</v>
      </c>
      <c r="D27" s="31">
        <v>30</v>
      </c>
      <c r="E27" s="31">
        <v>182.1</v>
      </c>
      <c r="F27" s="32">
        <v>16.550999999999998</v>
      </c>
      <c r="G27" s="32">
        <v>6.3689999999999998</v>
      </c>
      <c r="H27" s="32">
        <v>5.3040000000000003</v>
      </c>
      <c r="I27" s="32">
        <v>3.15</v>
      </c>
      <c r="J27" s="32">
        <v>1.2</v>
      </c>
      <c r="K27" s="33" t="s">
        <v>40</v>
      </c>
      <c r="L27" s="33" t="s">
        <v>38</v>
      </c>
      <c r="M27"/>
    </row>
    <row r="28" spans="1:13" x14ac:dyDescent="0.2">
      <c r="A28" s="28">
        <f t="shared" si="8"/>
        <v>72.34</v>
      </c>
      <c r="B28" s="29" t="s">
        <v>35</v>
      </c>
      <c r="C28" s="30" t="s">
        <v>41</v>
      </c>
      <c r="D28" s="33">
        <v>150</v>
      </c>
      <c r="E28" s="33">
        <v>77</v>
      </c>
      <c r="F28" s="33">
        <v>0.26</v>
      </c>
      <c r="G28" s="33">
        <v>0.39</v>
      </c>
      <c r="H28" s="33">
        <v>20.71</v>
      </c>
      <c r="I28" s="33">
        <v>3.6</v>
      </c>
      <c r="J28" s="33">
        <v>15.59</v>
      </c>
      <c r="K28" s="33" t="s">
        <v>42</v>
      </c>
      <c r="L28" s="33" t="s">
        <v>43</v>
      </c>
      <c r="M28"/>
    </row>
    <row r="29" spans="1:13" x14ac:dyDescent="0.2">
      <c r="A29" s="34">
        <f t="shared" si="8"/>
        <v>72.289999999999992</v>
      </c>
      <c r="B29" s="35" t="s">
        <v>35</v>
      </c>
      <c r="C29" s="30" t="s">
        <v>44</v>
      </c>
      <c r="D29" s="33">
        <v>150</v>
      </c>
      <c r="E29" s="33">
        <v>79</v>
      </c>
      <c r="F29" s="33">
        <v>0.25</v>
      </c>
      <c r="G29" s="33">
        <v>0.39</v>
      </c>
      <c r="H29" s="33">
        <v>20.72</v>
      </c>
      <c r="I29" s="33">
        <v>3.6</v>
      </c>
      <c r="J29" s="33">
        <v>15.58</v>
      </c>
      <c r="K29" s="33" t="s">
        <v>42</v>
      </c>
      <c r="L29" s="33" t="s">
        <v>43</v>
      </c>
      <c r="M29"/>
    </row>
    <row r="30" spans="1:13" x14ac:dyDescent="0.2">
      <c r="A30" s="28">
        <f t="shared" si="8"/>
        <v>60.010000000000005</v>
      </c>
      <c r="B30" s="29" t="s">
        <v>45</v>
      </c>
      <c r="C30" s="36" t="s">
        <v>46</v>
      </c>
      <c r="D30" s="29">
        <v>25</v>
      </c>
      <c r="E30" s="29">
        <v>60</v>
      </c>
      <c r="F30" s="29">
        <v>0.13</v>
      </c>
      <c r="G30" s="29">
        <v>0.85</v>
      </c>
      <c r="H30" s="29">
        <v>15.66</v>
      </c>
      <c r="I30" s="29">
        <v>1.8</v>
      </c>
      <c r="J30" s="29">
        <v>13.36</v>
      </c>
      <c r="K30" s="29" t="s">
        <v>47</v>
      </c>
      <c r="L30" s="29" t="s">
        <v>48</v>
      </c>
      <c r="M30"/>
    </row>
    <row r="31" spans="1:13" x14ac:dyDescent="0.2">
      <c r="A31" s="28">
        <f t="shared" si="8"/>
        <v>277</v>
      </c>
      <c r="B31" s="29" t="s">
        <v>45</v>
      </c>
      <c r="C31" s="30" t="s">
        <v>49</v>
      </c>
      <c r="D31" s="33">
        <v>201</v>
      </c>
      <c r="E31" s="33">
        <v>322</v>
      </c>
      <c r="F31" s="33">
        <v>29</v>
      </c>
      <c r="G31" s="33">
        <v>0</v>
      </c>
      <c r="H31" s="33">
        <v>17</v>
      </c>
      <c r="I31" s="33">
        <v>13</v>
      </c>
      <c r="J31" s="33">
        <v>0</v>
      </c>
      <c r="K31" s="33" t="s">
        <v>50</v>
      </c>
      <c r="L31" s="33" t="s">
        <v>43</v>
      </c>
      <c r="M31"/>
    </row>
    <row r="32" spans="1:13" x14ac:dyDescent="0.2">
      <c r="A32" s="28">
        <f t="shared" si="8"/>
        <v>129</v>
      </c>
      <c r="B32" s="29" t="s">
        <v>45</v>
      </c>
      <c r="C32" s="36" t="s">
        <v>51</v>
      </c>
      <c r="D32" s="29">
        <v>40</v>
      </c>
      <c r="E32" s="29">
        <v>160</v>
      </c>
      <c r="F32" s="29">
        <v>1</v>
      </c>
      <c r="G32" s="29">
        <v>1</v>
      </c>
      <c r="H32" s="29">
        <v>32</v>
      </c>
      <c r="I32" s="29">
        <v>3</v>
      </c>
      <c r="J32" s="29">
        <v>27</v>
      </c>
      <c r="K32" s="29" t="s">
        <v>52</v>
      </c>
      <c r="L32" s="29" t="s">
        <v>48</v>
      </c>
      <c r="M32"/>
    </row>
    <row r="33" spans="1:13" x14ac:dyDescent="0.2">
      <c r="A33" s="28">
        <f t="shared" si="8"/>
        <v>43.120000000000005</v>
      </c>
      <c r="B33" s="29" t="s">
        <v>35</v>
      </c>
      <c r="C33" s="36" t="s">
        <v>53</v>
      </c>
      <c r="D33" s="29">
        <v>80</v>
      </c>
      <c r="E33" s="29">
        <v>45.6</v>
      </c>
      <c r="F33" s="29">
        <v>0.24</v>
      </c>
      <c r="G33" s="29">
        <v>0.56000000000000005</v>
      </c>
      <c r="H33" s="29">
        <v>11.6</v>
      </c>
      <c r="I33" s="29">
        <v>1.92</v>
      </c>
      <c r="J33" s="29">
        <v>8</v>
      </c>
      <c r="K33" s="29" t="s">
        <v>54</v>
      </c>
      <c r="L33" s="29" t="s">
        <v>48</v>
      </c>
      <c r="M33"/>
    </row>
    <row r="34" spans="1:13" x14ac:dyDescent="0.2">
      <c r="A34" s="28">
        <f t="shared" si="8"/>
        <v>202.49</v>
      </c>
      <c r="B34" s="29" t="s">
        <v>35</v>
      </c>
      <c r="C34" s="37" t="s">
        <v>55</v>
      </c>
      <c r="D34" s="38">
        <v>30</v>
      </c>
      <c r="E34" s="38">
        <v>197</v>
      </c>
      <c r="F34" s="39">
        <v>19.93</v>
      </c>
      <c r="G34" s="39">
        <v>4.3</v>
      </c>
      <c r="H34" s="39">
        <v>3.68</v>
      </c>
      <c r="I34" s="39">
        <v>2.2000000000000002</v>
      </c>
      <c r="J34" s="39">
        <v>0.7</v>
      </c>
      <c r="K34" s="40" t="s">
        <v>56</v>
      </c>
      <c r="L34" s="40" t="s">
        <v>38</v>
      </c>
      <c r="M34"/>
    </row>
    <row r="35" spans="1:13" x14ac:dyDescent="0.2">
      <c r="A35" s="28">
        <f t="shared" si="8"/>
        <v>103.9</v>
      </c>
      <c r="B35" s="29" t="s">
        <v>35</v>
      </c>
      <c r="C35" s="36" t="s">
        <v>57</v>
      </c>
      <c r="D35" s="29">
        <v>14.2</v>
      </c>
      <c r="E35" s="41">
        <v>102</v>
      </c>
      <c r="F35" s="29">
        <v>11.5</v>
      </c>
      <c r="G35" s="29">
        <v>0.1</v>
      </c>
      <c r="H35" s="29">
        <v>0</v>
      </c>
      <c r="I35" s="29">
        <v>0</v>
      </c>
      <c r="J35" s="29">
        <v>0</v>
      </c>
      <c r="K35" s="29" t="s">
        <v>58</v>
      </c>
      <c r="L35" s="29" t="s">
        <v>59</v>
      </c>
      <c r="M35"/>
    </row>
    <row r="36" spans="1:13" x14ac:dyDescent="0.2">
      <c r="A36" s="34">
        <f t="shared" si="8"/>
        <v>51.900000000000006</v>
      </c>
      <c r="B36" s="35" t="s">
        <v>35</v>
      </c>
      <c r="C36" s="30" t="s">
        <v>60</v>
      </c>
      <c r="D36" s="33">
        <v>9</v>
      </c>
      <c r="E36" s="33">
        <v>58</v>
      </c>
      <c r="F36" s="33">
        <v>4.7</v>
      </c>
      <c r="G36" s="33">
        <v>1.3</v>
      </c>
      <c r="H36" s="33">
        <v>2.6</v>
      </c>
      <c r="I36" s="33">
        <v>1.5</v>
      </c>
      <c r="J36" s="33">
        <v>0.1</v>
      </c>
      <c r="K36" s="33" t="s">
        <v>61</v>
      </c>
      <c r="L36" s="33" t="s">
        <v>62</v>
      </c>
      <c r="M36"/>
    </row>
    <row r="37" spans="1:13" x14ac:dyDescent="0.2">
      <c r="A37" s="28">
        <f t="shared" si="8"/>
        <v>172.56</v>
      </c>
      <c r="B37" s="29" t="s">
        <v>35</v>
      </c>
      <c r="C37" s="30" t="s">
        <v>63</v>
      </c>
      <c r="D37" s="31">
        <v>30</v>
      </c>
      <c r="E37" s="31">
        <v>166</v>
      </c>
      <c r="F37" s="32">
        <v>13.16</v>
      </c>
      <c r="G37" s="32">
        <v>5.47</v>
      </c>
      <c r="H37" s="32">
        <v>9.06</v>
      </c>
      <c r="I37" s="32">
        <v>1</v>
      </c>
      <c r="J37" s="32">
        <v>1.77</v>
      </c>
      <c r="K37" s="33" t="s">
        <v>64</v>
      </c>
      <c r="L37" s="33" t="s">
        <v>38</v>
      </c>
      <c r="M37"/>
    </row>
    <row r="38" spans="1:13" x14ac:dyDescent="0.2">
      <c r="A38" s="28">
        <f t="shared" si="8"/>
        <v>172.5</v>
      </c>
      <c r="B38" s="29" t="s">
        <v>35</v>
      </c>
      <c r="C38" s="37" t="s">
        <v>65</v>
      </c>
      <c r="D38" s="38">
        <v>30</v>
      </c>
      <c r="E38" s="38">
        <v>180</v>
      </c>
      <c r="F38" s="39">
        <v>13.7</v>
      </c>
      <c r="G38" s="39">
        <v>5.6</v>
      </c>
      <c r="H38" s="39">
        <v>8.6999999999999993</v>
      </c>
      <c r="I38" s="39">
        <v>2</v>
      </c>
      <c r="J38" s="39">
        <v>3</v>
      </c>
      <c r="K38" s="40" t="s">
        <v>64</v>
      </c>
      <c r="L38" s="40" t="s">
        <v>38</v>
      </c>
      <c r="M38"/>
    </row>
    <row r="39" spans="1:13" x14ac:dyDescent="0.2">
      <c r="A39" s="28">
        <f t="shared" si="8"/>
        <v>402.98</v>
      </c>
      <c r="B39" s="29" t="s">
        <v>35</v>
      </c>
      <c r="C39" s="36" t="s">
        <v>66</v>
      </c>
      <c r="D39" s="28">
        <v>100</v>
      </c>
      <c r="E39" s="28">
        <v>403</v>
      </c>
      <c r="F39" s="42">
        <v>33.14</v>
      </c>
      <c r="G39" s="42">
        <v>24.9</v>
      </c>
      <c r="H39" s="42">
        <v>1.28</v>
      </c>
      <c r="I39" s="42">
        <v>0</v>
      </c>
      <c r="J39" s="42">
        <v>0.52</v>
      </c>
      <c r="K39" s="29" t="s">
        <v>67</v>
      </c>
      <c r="L39" s="29" t="s">
        <v>68</v>
      </c>
      <c r="M39"/>
    </row>
    <row r="40" spans="1:13" x14ac:dyDescent="0.2">
      <c r="A40" s="34">
        <f t="shared" si="8"/>
        <v>354.66999999999996</v>
      </c>
      <c r="B40" s="35" t="s">
        <v>35</v>
      </c>
      <c r="C40" s="36" t="s">
        <v>69</v>
      </c>
      <c r="D40" s="28">
        <v>100</v>
      </c>
      <c r="E40" s="28">
        <v>249</v>
      </c>
      <c r="F40" s="42">
        <v>34.869999999999997</v>
      </c>
      <c r="G40" s="42">
        <v>7.55</v>
      </c>
      <c r="H40" s="42">
        <v>2.66</v>
      </c>
      <c r="I40" s="42">
        <v>0</v>
      </c>
      <c r="J40" s="42">
        <v>0.2</v>
      </c>
      <c r="K40" s="29" t="s">
        <v>70</v>
      </c>
      <c r="L40" s="29" t="s">
        <v>68</v>
      </c>
      <c r="M40"/>
    </row>
    <row r="41" spans="1:13" x14ac:dyDescent="0.2">
      <c r="A41" s="28">
        <f t="shared" si="8"/>
        <v>294.8</v>
      </c>
      <c r="B41" s="29" t="s">
        <v>35</v>
      </c>
      <c r="C41" s="36" t="s">
        <v>71</v>
      </c>
      <c r="D41" s="28">
        <v>100</v>
      </c>
      <c r="E41" s="28">
        <v>300</v>
      </c>
      <c r="F41" s="42">
        <v>22</v>
      </c>
      <c r="G41" s="42">
        <v>22</v>
      </c>
      <c r="H41" s="42">
        <v>2.2000000000000002</v>
      </c>
      <c r="I41" s="42">
        <v>0</v>
      </c>
      <c r="J41" s="42">
        <v>1</v>
      </c>
      <c r="K41" s="29" t="s">
        <v>72</v>
      </c>
      <c r="L41" s="29" t="s">
        <v>68</v>
      </c>
      <c r="M41"/>
    </row>
    <row r="42" spans="1:13" x14ac:dyDescent="0.2">
      <c r="A42" s="28">
        <f t="shared" si="8"/>
        <v>21.5</v>
      </c>
      <c r="B42" s="29" t="s">
        <v>35</v>
      </c>
      <c r="C42" s="43" t="s">
        <v>73</v>
      </c>
      <c r="D42" s="34">
        <v>5</v>
      </c>
      <c r="E42" s="34">
        <v>20</v>
      </c>
      <c r="F42" s="44">
        <v>1.5</v>
      </c>
      <c r="G42" s="44">
        <v>2</v>
      </c>
      <c r="H42" s="44">
        <v>0</v>
      </c>
      <c r="I42" s="44">
        <v>0</v>
      </c>
      <c r="J42" s="44">
        <v>0</v>
      </c>
      <c r="K42" s="35" t="s">
        <v>74</v>
      </c>
      <c r="L42" s="35" t="s">
        <v>68</v>
      </c>
      <c r="M42"/>
    </row>
    <row r="43" spans="1:13" x14ac:dyDescent="0.2">
      <c r="A43" s="28">
        <f t="shared" si="8"/>
        <v>48.099999999999994</v>
      </c>
      <c r="B43" s="29" t="s">
        <v>35</v>
      </c>
      <c r="C43" s="36" t="s">
        <v>75</v>
      </c>
      <c r="D43" s="29">
        <v>15</v>
      </c>
      <c r="E43" s="29">
        <v>50</v>
      </c>
      <c r="F43" s="29">
        <v>0.1</v>
      </c>
      <c r="G43" s="29">
        <v>0.2</v>
      </c>
      <c r="H43" s="29">
        <v>12</v>
      </c>
      <c r="I43" s="29">
        <v>0.4</v>
      </c>
      <c r="J43" s="29">
        <v>10</v>
      </c>
      <c r="K43" s="29" t="s">
        <v>76</v>
      </c>
      <c r="L43" s="29" t="s">
        <v>48</v>
      </c>
      <c r="M43"/>
    </row>
    <row r="44" spans="1:13" x14ac:dyDescent="0.2">
      <c r="A44" s="28">
        <f t="shared" si="8"/>
        <v>45.300000000000004</v>
      </c>
      <c r="B44" s="29" t="s">
        <v>35</v>
      </c>
      <c r="C44" s="30" t="s">
        <v>77</v>
      </c>
      <c r="D44" s="33">
        <v>12</v>
      </c>
      <c r="E44" s="33">
        <v>58</v>
      </c>
      <c r="F44" s="33">
        <v>3.7</v>
      </c>
      <c r="G44" s="33">
        <v>2</v>
      </c>
      <c r="H44" s="33">
        <v>5.0999999999999996</v>
      </c>
      <c r="I44" s="33">
        <v>4.0999999999999996</v>
      </c>
      <c r="J44" s="33">
        <v>0</v>
      </c>
      <c r="K44" s="33" t="s">
        <v>78</v>
      </c>
      <c r="L44" s="33" t="s">
        <v>79</v>
      </c>
    </row>
    <row r="45" spans="1:13" x14ac:dyDescent="0.2">
      <c r="A45" s="28">
        <f t="shared" si="8"/>
        <v>0</v>
      </c>
      <c r="B45" s="29" t="s">
        <v>35</v>
      </c>
      <c r="C45" s="36" t="s">
        <v>80</v>
      </c>
      <c r="D45" s="29">
        <v>1</v>
      </c>
      <c r="E45" s="29">
        <v>1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 t="s">
        <v>81</v>
      </c>
      <c r="L45" s="29" t="s">
        <v>82</v>
      </c>
    </row>
    <row r="46" spans="1:13" x14ac:dyDescent="0.2">
      <c r="A46" s="28">
        <f t="shared" si="8"/>
        <v>21</v>
      </c>
      <c r="B46" s="29" t="s">
        <v>35</v>
      </c>
      <c r="C46" s="36" t="s">
        <v>83</v>
      </c>
      <c r="D46" s="42">
        <v>8</v>
      </c>
      <c r="E46" s="41">
        <v>33</v>
      </c>
      <c r="F46" s="42">
        <v>1</v>
      </c>
      <c r="G46" s="42">
        <v>2</v>
      </c>
      <c r="H46" s="42">
        <v>4</v>
      </c>
      <c r="I46" s="42">
        <v>3</v>
      </c>
      <c r="J46" s="42">
        <v>0</v>
      </c>
      <c r="K46" s="29" t="s">
        <v>84</v>
      </c>
      <c r="L46" s="29" t="s">
        <v>82</v>
      </c>
    </row>
    <row r="47" spans="1:13" x14ac:dyDescent="0.2">
      <c r="A47" s="28">
        <f t="shared" si="8"/>
        <v>12.5</v>
      </c>
      <c r="B47" s="29" t="s">
        <v>35</v>
      </c>
      <c r="C47" s="36" t="s">
        <v>85</v>
      </c>
      <c r="D47" s="42">
        <v>5</v>
      </c>
      <c r="E47" s="41">
        <v>10</v>
      </c>
      <c r="F47" s="42">
        <v>0.5</v>
      </c>
      <c r="G47" s="42">
        <v>1</v>
      </c>
      <c r="H47" s="42">
        <v>3</v>
      </c>
      <c r="I47" s="42">
        <v>2</v>
      </c>
      <c r="J47" s="42">
        <v>0</v>
      </c>
      <c r="K47" s="29" t="s">
        <v>86</v>
      </c>
      <c r="L47" s="29" t="s">
        <v>82</v>
      </c>
    </row>
    <row r="48" spans="1:13" x14ac:dyDescent="0.2">
      <c r="A48" s="28">
        <f t="shared" si="8"/>
        <v>31.860000000000003</v>
      </c>
      <c r="B48" s="29" t="s">
        <v>35</v>
      </c>
      <c r="C48" s="43" t="s">
        <v>87</v>
      </c>
      <c r="D48" s="35">
        <v>10</v>
      </c>
      <c r="E48" s="35">
        <v>31</v>
      </c>
      <c r="F48" s="35">
        <v>0.14000000000000001</v>
      </c>
      <c r="G48" s="35">
        <v>0.01</v>
      </c>
      <c r="H48" s="35">
        <v>8.24</v>
      </c>
      <c r="I48" s="35">
        <v>0.6</v>
      </c>
      <c r="J48" s="35">
        <v>6.5</v>
      </c>
      <c r="K48" s="35" t="s">
        <v>88</v>
      </c>
      <c r="L48" s="35" t="s">
        <v>48</v>
      </c>
    </row>
    <row r="49" spans="1:1022" x14ac:dyDescent="0.2">
      <c r="A49" s="28">
        <f t="shared" si="8"/>
        <v>220.8</v>
      </c>
      <c r="B49" s="29" t="s">
        <v>35</v>
      </c>
      <c r="C49" s="36" t="s">
        <v>89</v>
      </c>
      <c r="D49" s="29">
        <v>100</v>
      </c>
      <c r="E49" s="41">
        <v>220</v>
      </c>
      <c r="F49" s="29">
        <v>22</v>
      </c>
      <c r="G49" s="29">
        <v>2</v>
      </c>
      <c r="H49" s="29">
        <v>4</v>
      </c>
      <c r="I49" s="29">
        <v>0.3</v>
      </c>
      <c r="J49" s="29">
        <v>2.4</v>
      </c>
      <c r="K49" s="29" t="s">
        <v>90</v>
      </c>
      <c r="L49" s="29" t="s">
        <v>59</v>
      </c>
    </row>
    <row r="50" spans="1:1022" x14ac:dyDescent="0.2">
      <c r="A50" s="34">
        <f t="shared" si="8"/>
        <v>672.5</v>
      </c>
      <c r="B50" s="35" t="s">
        <v>35</v>
      </c>
      <c r="C50" s="36" t="s">
        <v>91</v>
      </c>
      <c r="D50" s="42">
        <v>244</v>
      </c>
      <c r="E50" s="41">
        <v>675</v>
      </c>
      <c r="F50" s="42">
        <v>67.5</v>
      </c>
      <c r="G50" s="42">
        <v>6.25</v>
      </c>
      <c r="H50" s="42">
        <v>10</v>
      </c>
      <c r="I50" s="42">
        <v>0</v>
      </c>
      <c r="J50" s="42">
        <v>10</v>
      </c>
      <c r="K50" s="29" t="s">
        <v>92</v>
      </c>
      <c r="L50" s="29" t="s">
        <v>59</v>
      </c>
    </row>
    <row r="51" spans="1:1022" x14ac:dyDescent="0.2">
      <c r="A51" s="28">
        <f t="shared" si="8"/>
        <v>218.36</v>
      </c>
      <c r="B51" s="29" t="s">
        <v>35</v>
      </c>
      <c r="C51" s="43" t="s">
        <v>93</v>
      </c>
      <c r="D51" s="35">
        <v>100</v>
      </c>
      <c r="E51" s="45">
        <v>214</v>
      </c>
      <c r="F51" s="35">
        <v>20.96</v>
      </c>
      <c r="G51" s="35">
        <v>3.16</v>
      </c>
      <c r="H51" s="35">
        <v>4.2699999999999996</v>
      </c>
      <c r="I51" s="35">
        <v>0</v>
      </c>
      <c r="J51" s="35">
        <v>0.16</v>
      </c>
      <c r="K51" s="35" t="s">
        <v>94</v>
      </c>
      <c r="L51" s="35" t="s">
        <v>59</v>
      </c>
    </row>
    <row r="52" spans="1:1022" x14ac:dyDescent="0.2">
      <c r="A52" s="28">
        <f t="shared" si="8"/>
        <v>112.58</v>
      </c>
      <c r="B52" s="29" t="s">
        <v>35</v>
      </c>
      <c r="C52" s="36" t="s">
        <v>95</v>
      </c>
      <c r="D52" s="29">
        <v>40</v>
      </c>
      <c r="E52" s="29">
        <v>111</v>
      </c>
      <c r="F52" s="29">
        <v>0.06</v>
      </c>
      <c r="G52" s="29">
        <v>0.72</v>
      </c>
      <c r="H52" s="29">
        <v>29.99</v>
      </c>
      <c r="I52" s="29">
        <v>2.7</v>
      </c>
      <c r="J52" s="29">
        <v>26.59</v>
      </c>
      <c r="K52" s="29" t="s">
        <v>96</v>
      </c>
      <c r="L52" s="29" t="s">
        <v>48</v>
      </c>
    </row>
    <row r="53" spans="1:1022" x14ac:dyDescent="0.2">
      <c r="A53" s="28">
        <f t="shared" si="8"/>
        <v>334.7</v>
      </c>
      <c r="B53" s="29" t="s">
        <v>35</v>
      </c>
      <c r="C53" s="36" t="s">
        <v>97</v>
      </c>
      <c r="D53" s="29">
        <v>100</v>
      </c>
      <c r="E53" s="41">
        <v>330</v>
      </c>
      <c r="F53" s="29">
        <v>0.3</v>
      </c>
      <c r="G53" s="29">
        <v>80</v>
      </c>
      <c r="H53" s="29">
        <v>3</v>
      </c>
      <c r="I53" s="29">
        <v>0</v>
      </c>
      <c r="J53" s="29">
        <v>0</v>
      </c>
      <c r="K53" s="29" t="s">
        <v>98</v>
      </c>
      <c r="L53" s="29" t="s">
        <v>99</v>
      </c>
    </row>
    <row r="54" spans="1:1022" x14ac:dyDescent="0.2">
      <c r="A54" s="28">
        <f t="shared" si="8"/>
        <v>71.41</v>
      </c>
      <c r="B54" s="29" t="s">
        <v>35</v>
      </c>
      <c r="C54" s="36" t="s">
        <v>100</v>
      </c>
      <c r="D54" s="29">
        <v>50</v>
      </c>
      <c r="E54" s="41">
        <v>74</v>
      </c>
      <c r="F54" s="29">
        <v>4.97</v>
      </c>
      <c r="G54" s="29">
        <v>6.27</v>
      </c>
      <c r="H54" s="29">
        <v>0.4</v>
      </c>
      <c r="I54" s="29">
        <v>0</v>
      </c>
      <c r="J54" s="29">
        <v>0</v>
      </c>
      <c r="K54" s="29" t="s">
        <v>101</v>
      </c>
      <c r="L54" s="29" t="s">
        <v>59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</row>
    <row r="55" spans="1:1022" x14ac:dyDescent="0.2">
      <c r="A55" s="28">
        <f t="shared" si="8"/>
        <v>200</v>
      </c>
      <c r="B55" s="29" t="s">
        <v>35</v>
      </c>
      <c r="C55" s="36" t="s">
        <v>102</v>
      </c>
      <c r="D55" s="42">
        <v>100</v>
      </c>
      <c r="E55" s="41">
        <v>4</v>
      </c>
      <c r="F55" s="42">
        <v>0</v>
      </c>
      <c r="G55" s="42">
        <v>0</v>
      </c>
      <c r="H55" s="42">
        <v>50</v>
      </c>
      <c r="I55" s="42">
        <v>0</v>
      </c>
      <c r="J55" s="42">
        <v>0</v>
      </c>
      <c r="K55" s="29" t="s">
        <v>103</v>
      </c>
      <c r="L55" s="29" t="s">
        <v>104</v>
      </c>
      <c r="M55"/>
    </row>
    <row r="56" spans="1:1022" x14ac:dyDescent="0.2">
      <c r="A56" s="28">
        <f t="shared" si="8"/>
        <v>40</v>
      </c>
      <c r="B56" s="29" t="s">
        <v>35</v>
      </c>
      <c r="C56" s="36" t="s">
        <v>105</v>
      </c>
      <c r="D56" s="42">
        <v>10</v>
      </c>
      <c r="E56" s="41">
        <v>40</v>
      </c>
      <c r="F56" s="42">
        <v>0</v>
      </c>
      <c r="G56" s="42">
        <v>10</v>
      </c>
      <c r="H56" s="42">
        <v>0</v>
      </c>
      <c r="I56" s="42">
        <v>0</v>
      </c>
      <c r="J56" s="42">
        <v>0</v>
      </c>
      <c r="K56" s="29" t="s">
        <v>106</v>
      </c>
      <c r="L56" s="29" t="s">
        <v>99</v>
      </c>
      <c r="M56"/>
    </row>
    <row r="57" spans="1:1022" x14ac:dyDescent="0.2">
      <c r="A57" s="28">
        <f t="shared" si="8"/>
        <v>0</v>
      </c>
      <c r="B57" s="29" t="s">
        <v>35</v>
      </c>
      <c r="C57" s="30" t="s">
        <v>107</v>
      </c>
      <c r="D57" s="33">
        <v>12</v>
      </c>
      <c r="E57" s="46">
        <v>0</v>
      </c>
      <c r="F57" s="33">
        <v>0</v>
      </c>
      <c r="G57" s="33">
        <v>0</v>
      </c>
      <c r="H57" s="33">
        <v>9</v>
      </c>
      <c r="I57" s="33">
        <v>9</v>
      </c>
      <c r="J57" s="33">
        <v>0</v>
      </c>
      <c r="K57" s="33" t="s">
        <v>108</v>
      </c>
      <c r="L57" s="33" t="s">
        <v>109</v>
      </c>
      <c r="M57"/>
    </row>
    <row r="58" spans="1:1022" x14ac:dyDescent="0.2">
      <c r="A58" s="28">
        <f t="shared" ref="A58:A89" si="9">F58*9+(G58+H58-I58)*4</f>
        <v>9.7848749999999995</v>
      </c>
      <c r="B58" s="29" t="s">
        <v>35</v>
      </c>
      <c r="C58" s="30" t="s">
        <v>110</v>
      </c>
      <c r="D58" s="32">
        <v>5.38</v>
      </c>
      <c r="E58" s="46">
        <v>18.93</v>
      </c>
      <c r="F58" s="32">
        <v>0.235375</v>
      </c>
      <c r="G58" s="32">
        <v>0.84062499999999996</v>
      </c>
      <c r="H58" s="32">
        <v>3.3624999999999998</v>
      </c>
      <c r="I58" s="32">
        <v>2.2865000000000002</v>
      </c>
      <c r="J58" s="32">
        <v>3.3625000000000002E-2</v>
      </c>
      <c r="K58" s="33" t="s">
        <v>111</v>
      </c>
      <c r="L58" s="33" t="s">
        <v>109</v>
      </c>
      <c r="M58"/>
    </row>
    <row r="59" spans="1:1022" x14ac:dyDescent="0.2">
      <c r="A59" s="28">
        <f t="shared" si="9"/>
        <v>20.5</v>
      </c>
      <c r="B59" s="29" t="s">
        <v>35</v>
      </c>
      <c r="C59" s="36" t="s">
        <v>112</v>
      </c>
      <c r="D59" s="42">
        <v>8.4</v>
      </c>
      <c r="E59" s="41">
        <v>21</v>
      </c>
      <c r="F59" s="42">
        <v>0.1</v>
      </c>
      <c r="G59" s="42">
        <v>0.3</v>
      </c>
      <c r="H59" s="42">
        <v>5.4</v>
      </c>
      <c r="I59" s="42">
        <v>0.8</v>
      </c>
      <c r="J59" s="42">
        <v>4</v>
      </c>
      <c r="K59" s="29" t="s">
        <v>113</v>
      </c>
      <c r="L59" s="29" t="s">
        <v>48</v>
      </c>
      <c r="M59"/>
    </row>
    <row r="60" spans="1:1022" x14ac:dyDescent="0.2">
      <c r="A60" s="28">
        <f t="shared" si="9"/>
        <v>139.4</v>
      </c>
      <c r="B60" s="29" t="s">
        <v>35</v>
      </c>
      <c r="C60" s="30" t="s">
        <v>114</v>
      </c>
      <c r="D60" s="33">
        <v>24</v>
      </c>
      <c r="E60" s="46">
        <v>140</v>
      </c>
      <c r="F60" s="33">
        <v>12.2</v>
      </c>
      <c r="G60" s="33">
        <v>5.2</v>
      </c>
      <c r="H60" s="33">
        <v>4.8</v>
      </c>
      <c r="I60" s="33">
        <v>2.6</v>
      </c>
      <c r="J60" s="33">
        <v>1</v>
      </c>
      <c r="K60" s="33" t="s">
        <v>115</v>
      </c>
      <c r="L60" s="33" t="s">
        <v>116</v>
      </c>
      <c r="M60"/>
    </row>
    <row r="61" spans="1:1022" x14ac:dyDescent="0.2">
      <c r="A61" s="34">
        <f t="shared" si="9"/>
        <v>83</v>
      </c>
      <c r="B61" s="35" t="s">
        <v>35</v>
      </c>
      <c r="C61" s="30" t="s">
        <v>117</v>
      </c>
      <c r="D61" s="33">
        <v>28</v>
      </c>
      <c r="E61" s="46">
        <v>120</v>
      </c>
      <c r="F61" s="33">
        <v>3</v>
      </c>
      <c r="G61" s="33">
        <v>6</v>
      </c>
      <c r="H61" s="33">
        <v>18</v>
      </c>
      <c r="I61" s="33">
        <v>10</v>
      </c>
      <c r="J61" s="33">
        <v>6</v>
      </c>
      <c r="K61" s="33" t="s">
        <v>118</v>
      </c>
      <c r="L61" s="33" t="s">
        <v>116</v>
      </c>
      <c r="M61"/>
    </row>
    <row r="62" spans="1:1022" x14ac:dyDescent="0.2">
      <c r="A62" s="28">
        <f t="shared" si="9"/>
        <v>335.74999999999994</v>
      </c>
      <c r="B62" s="29" t="s">
        <v>35</v>
      </c>
      <c r="C62" s="30" t="s">
        <v>119</v>
      </c>
      <c r="D62" s="33">
        <v>100</v>
      </c>
      <c r="E62" s="46">
        <v>246</v>
      </c>
      <c r="F62" s="33">
        <v>7.03</v>
      </c>
      <c r="G62" s="33">
        <v>17.3</v>
      </c>
      <c r="H62" s="33">
        <v>66.22</v>
      </c>
      <c r="I62" s="33">
        <v>15.4</v>
      </c>
      <c r="J62" s="33">
        <v>1.45</v>
      </c>
      <c r="K62" s="33" t="s">
        <v>120</v>
      </c>
      <c r="L62" s="33" t="s">
        <v>116</v>
      </c>
      <c r="M62"/>
    </row>
    <row r="63" spans="1:1022" x14ac:dyDescent="0.2">
      <c r="A63" s="28">
        <f t="shared" si="9"/>
        <v>377.52</v>
      </c>
      <c r="B63" s="29" t="s">
        <v>35</v>
      </c>
      <c r="C63" s="30" t="s">
        <v>121</v>
      </c>
      <c r="D63" s="33">
        <v>100</v>
      </c>
      <c r="E63" s="46">
        <v>404</v>
      </c>
      <c r="F63" s="33">
        <v>9.1199999999999992</v>
      </c>
      <c r="G63" s="33">
        <v>14.66</v>
      </c>
      <c r="H63" s="33">
        <v>65.7</v>
      </c>
      <c r="I63" s="33">
        <v>6.5</v>
      </c>
      <c r="J63" s="33">
        <v>0.8</v>
      </c>
      <c r="K63" s="33" t="s">
        <v>120</v>
      </c>
      <c r="L63" s="33" t="s">
        <v>116</v>
      </c>
      <c r="M63"/>
    </row>
    <row r="64" spans="1:1022" x14ac:dyDescent="0.2">
      <c r="A64" s="28">
        <f t="shared" si="9"/>
        <v>306</v>
      </c>
      <c r="B64" s="29" t="s">
        <v>35</v>
      </c>
      <c r="C64" s="30" t="s">
        <v>122</v>
      </c>
      <c r="D64" s="33">
        <v>100</v>
      </c>
      <c r="E64" s="46">
        <v>365</v>
      </c>
      <c r="F64" s="33">
        <v>6</v>
      </c>
      <c r="G64" s="33">
        <v>19</v>
      </c>
      <c r="H64" s="33">
        <v>61</v>
      </c>
      <c r="I64" s="33">
        <v>17</v>
      </c>
      <c r="J64" s="33">
        <v>11</v>
      </c>
      <c r="K64" s="33" t="s">
        <v>123</v>
      </c>
      <c r="L64" s="33" t="s">
        <v>99</v>
      </c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</row>
    <row r="65" spans="1:13" x14ac:dyDescent="0.2">
      <c r="A65" s="28">
        <f t="shared" si="9"/>
        <v>80.5</v>
      </c>
      <c r="B65" s="29" t="s">
        <v>35</v>
      </c>
      <c r="C65" s="37" t="s">
        <v>124</v>
      </c>
      <c r="D65" s="40">
        <v>15</v>
      </c>
      <c r="E65" s="40">
        <v>70</v>
      </c>
      <c r="F65" s="40">
        <v>4.5</v>
      </c>
      <c r="G65" s="40">
        <v>1</v>
      </c>
      <c r="H65" s="40">
        <v>10</v>
      </c>
      <c r="I65" s="40">
        <v>1</v>
      </c>
      <c r="J65" s="40">
        <v>8</v>
      </c>
      <c r="K65" s="40" t="s">
        <v>125</v>
      </c>
      <c r="L65" s="40" t="s">
        <v>62</v>
      </c>
      <c r="M65"/>
    </row>
    <row r="66" spans="1:13" x14ac:dyDescent="0.2">
      <c r="A66" s="28">
        <f t="shared" si="9"/>
        <v>76</v>
      </c>
      <c r="B66" s="29" t="s">
        <v>35</v>
      </c>
      <c r="C66" s="30" t="s">
        <v>126</v>
      </c>
      <c r="D66" s="33">
        <v>15</v>
      </c>
      <c r="E66" s="33">
        <v>70</v>
      </c>
      <c r="F66" s="33">
        <v>4</v>
      </c>
      <c r="G66" s="33">
        <v>1</v>
      </c>
      <c r="H66" s="33">
        <v>10</v>
      </c>
      <c r="I66" s="33">
        <v>1</v>
      </c>
      <c r="J66" s="33">
        <v>9</v>
      </c>
      <c r="K66" s="33" t="s">
        <v>127</v>
      </c>
      <c r="L66" s="33" t="s">
        <v>62</v>
      </c>
      <c r="M66"/>
    </row>
    <row r="67" spans="1:13" x14ac:dyDescent="0.2">
      <c r="A67" s="28">
        <f t="shared" si="9"/>
        <v>76.5</v>
      </c>
      <c r="B67" s="29" t="s">
        <v>35</v>
      </c>
      <c r="C67" s="30" t="s">
        <v>128</v>
      </c>
      <c r="D67" s="33">
        <v>15</v>
      </c>
      <c r="E67" s="33">
        <v>70</v>
      </c>
      <c r="F67" s="33">
        <v>4.5</v>
      </c>
      <c r="G67" s="33">
        <v>1</v>
      </c>
      <c r="H67" s="33">
        <v>9</v>
      </c>
      <c r="I67" s="33">
        <v>1</v>
      </c>
      <c r="J67" s="33">
        <v>8</v>
      </c>
      <c r="K67" s="33" t="s">
        <v>127</v>
      </c>
      <c r="L67" s="33" t="s">
        <v>62</v>
      </c>
      <c r="M67"/>
    </row>
    <row r="68" spans="1:13" x14ac:dyDescent="0.2">
      <c r="A68" s="28">
        <f t="shared" si="9"/>
        <v>52</v>
      </c>
      <c r="B68" s="29" t="s">
        <v>35</v>
      </c>
      <c r="C68" s="30" t="s">
        <v>129</v>
      </c>
      <c r="D68" s="33">
        <v>14</v>
      </c>
      <c r="E68" s="33">
        <v>50</v>
      </c>
      <c r="F68" s="33">
        <v>4</v>
      </c>
      <c r="G68" s="33">
        <v>1</v>
      </c>
      <c r="H68" s="33">
        <v>8</v>
      </c>
      <c r="I68" s="33">
        <v>5</v>
      </c>
      <c r="J68" s="33">
        <v>0</v>
      </c>
      <c r="K68" s="33" t="s">
        <v>130</v>
      </c>
      <c r="L68" s="33" t="s">
        <v>62</v>
      </c>
      <c r="M68"/>
    </row>
    <row r="69" spans="1:13" x14ac:dyDescent="0.2">
      <c r="A69" s="28">
        <f t="shared" si="9"/>
        <v>59.35</v>
      </c>
      <c r="B69" s="29" t="s">
        <v>35</v>
      </c>
      <c r="C69" s="30" t="s">
        <v>131</v>
      </c>
      <c r="D69" s="32">
        <v>10</v>
      </c>
      <c r="E69" s="46">
        <v>63.33</v>
      </c>
      <c r="F69" s="32">
        <v>4.67</v>
      </c>
      <c r="G69" s="32">
        <v>0.67</v>
      </c>
      <c r="H69" s="32">
        <v>4.33</v>
      </c>
      <c r="I69" s="32">
        <v>0.67</v>
      </c>
      <c r="J69" s="32">
        <v>3</v>
      </c>
      <c r="K69" s="33" t="s">
        <v>132</v>
      </c>
      <c r="L69" s="33" t="s">
        <v>133</v>
      </c>
      <c r="M69"/>
    </row>
    <row r="70" spans="1:13" x14ac:dyDescent="0.2">
      <c r="A70" s="28">
        <f t="shared" si="9"/>
        <v>617.67999999999995</v>
      </c>
      <c r="B70" s="29" t="s">
        <v>35</v>
      </c>
      <c r="C70" s="30" t="s">
        <v>134</v>
      </c>
      <c r="D70" s="32">
        <v>10</v>
      </c>
      <c r="E70" s="46">
        <v>56.67</v>
      </c>
      <c r="F70" s="32">
        <v>67</v>
      </c>
      <c r="G70" s="32">
        <v>1.33</v>
      </c>
      <c r="H70" s="32">
        <v>3.67</v>
      </c>
      <c r="I70" s="32">
        <v>1.33</v>
      </c>
      <c r="J70" s="32">
        <v>1.33</v>
      </c>
      <c r="K70" s="33" t="s">
        <v>132</v>
      </c>
      <c r="L70" s="33" t="s">
        <v>133</v>
      </c>
      <c r="M70"/>
    </row>
    <row r="71" spans="1:13" x14ac:dyDescent="0.2">
      <c r="A71" s="28">
        <f t="shared" si="9"/>
        <v>58.61</v>
      </c>
      <c r="B71" s="29" t="s">
        <v>35</v>
      </c>
      <c r="C71" s="30" t="s">
        <v>135</v>
      </c>
      <c r="D71" s="32">
        <v>10</v>
      </c>
      <c r="E71" s="46">
        <v>66.67</v>
      </c>
      <c r="F71" s="32">
        <v>5.33</v>
      </c>
      <c r="G71" s="32">
        <v>1.33</v>
      </c>
      <c r="H71" s="32">
        <v>3</v>
      </c>
      <c r="I71" s="32">
        <v>1.67</v>
      </c>
      <c r="J71" s="32">
        <v>0.67</v>
      </c>
      <c r="K71" s="33" t="s">
        <v>132</v>
      </c>
      <c r="L71" s="33" t="s">
        <v>133</v>
      </c>
      <c r="M71"/>
    </row>
    <row r="72" spans="1:13" x14ac:dyDescent="0.2">
      <c r="A72" s="28">
        <f t="shared" si="9"/>
        <v>61.499999999999993</v>
      </c>
      <c r="B72" s="29" t="s">
        <v>35</v>
      </c>
      <c r="C72" s="30" t="s">
        <v>136</v>
      </c>
      <c r="D72" s="31">
        <v>8.4</v>
      </c>
      <c r="E72" s="31">
        <v>60</v>
      </c>
      <c r="F72" s="32">
        <v>6.3</v>
      </c>
      <c r="G72" s="32">
        <v>0.7</v>
      </c>
      <c r="H72" s="32">
        <v>1.2</v>
      </c>
      <c r="I72" s="32">
        <v>0.7</v>
      </c>
      <c r="J72" s="32">
        <v>0.4</v>
      </c>
      <c r="K72" s="33" t="s">
        <v>137</v>
      </c>
      <c r="L72" s="33" t="s">
        <v>38</v>
      </c>
      <c r="M72"/>
    </row>
    <row r="73" spans="1:13" x14ac:dyDescent="0.2">
      <c r="A73" s="28">
        <f t="shared" si="9"/>
        <v>90</v>
      </c>
      <c r="B73" s="29" t="s">
        <v>35</v>
      </c>
      <c r="C73" s="36" t="s">
        <v>138</v>
      </c>
      <c r="D73" s="42">
        <v>13</v>
      </c>
      <c r="E73" s="41">
        <v>90</v>
      </c>
      <c r="F73" s="42">
        <v>10</v>
      </c>
      <c r="G73" s="42">
        <v>0</v>
      </c>
      <c r="H73" s="42">
        <v>0</v>
      </c>
      <c r="I73" s="42">
        <v>0</v>
      </c>
      <c r="J73" s="42">
        <v>0</v>
      </c>
      <c r="K73" s="29" t="s">
        <v>139</v>
      </c>
      <c r="L73" s="29" t="s">
        <v>59</v>
      </c>
      <c r="M73"/>
    </row>
    <row r="74" spans="1:13" x14ac:dyDescent="0.2">
      <c r="A74" s="28">
        <f t="shared" si="9"/>
        <v>141.6</v>
      </c>
      <c r="B74" s="29" t="s">
        <v>35</v>
      </c>
      <c r="C74" s="36" t="s">
        <v>140</v>
      </c>
      <c r="D74" s="42">
        <v>20</v>
      </c>
      <c r="E74" s="41">
        <v>140</v>
      </c>
      <c r="F74" s="42">
        <v>15.2</v>
      </c>
      <c r="G74" s="42">
        <v>0.3</v>
      </c>
      <c r="H74" s="42">
        <v>0.9</v>
      </c>
      <c r="I74" s="42">
        <v>0</v>
      </c>
      <c r="J74" s="42">
        <v>0</v>
      </c>
      <c r="K74" s="29" t="s">
        <v>141</v>
      </c>
      <c r="L74" s="29" t="s">
        <v>59</v>
      </c>
      <c r="M74"/>
    </row>
    <row r="75" spans="1:13" x14ac:dyDescent="0.2">
      <c r="A75" s="34">
        <f t="shared" si="9"/>
        <v>103</v>
      </c>
      <c r="B75" s="35" t="s">
        <v>35</v>
      </c>
      <c r="C75" s="43" t="s">
        <v>142</v>
      </c>
      <c r="D75" s="44">
        <v>15</v>
      </c>
      <c r="E75" s="45">
        <v>105</v>
      </c>
      <c r="F75" s="44">
        <v>11</v>
      </c>
      <c r="G75" s="44">
        <v>0</v>
      </c>
      <c r="H75" s="44">
        <v>1</v>
      </c>
      <c r="I75" s="44">
        <v>0</v>
      </c>
      <c r="J75" s="44">
        <v>0.5</v>
      </c>
      <c r="K75" s="35" t="s">
        <v>127</v>
      </c>
      <c r="L75" s="35" t="s">
        <v>59</v>
      </c>
      <c r="M75"/>
    </row>
    <row r="76" spans="1:13" x14ac:dyDescent="0.2">
      <c r="A76" s="28">
        <f t="shared" si="9"/>
        <v>15.32</v>
      </c>
      <c r="B76" s="29" t="s">
        <v>35</v>
      </c>
      <c r="C76" s="36" t="s">
        <v>143</v>
      </c>
      <c r="D76" s="42">
        <v>103</v>
      </c>
      <c r="E76" s="41">
        <v>17</v>
      </c>
      <c r="F76" s="42">
        <v>1.4</v>
      </c>
      <c r="G76" s="42">
        <v>0.56000000000000005</v>
      </c>
      <c r="H76" s="42">
        <v>0.32</v>
      </c>
      <c r="I76" s="42">
        <v>0.2</v>
      </c>
      <c r="J76" s="42">
        <v>0.12</v>
      </c>
      <c r="K76" s="29" t="s">
        <v>144</v>
      </c>
      <c r="L76" s="29" t="s">
        <v>145</v>
      </c>
      <c r="M76"/>
    </row>
    <row r="77" spans="1:13" x14ac:dyDescent="0.2">
      <c r="A77" s="34">
        <f t="shared" si="9"/>
        <v>220.8</v>
      </c>
      <c r="B77" s="35" t="s">
        <v>35</v>
      </c>
      <c r="C77" s="36" t="s">
        <v>146</v>
      </c>
      <c r="D77" s="29">
        <v>100</v>
      </c>
      <c r="E77" s="41">
        <v>220</v>
      </c>
      <c r="F77" s="29">
        <v>22</v>
      </c>
      <c r="G77" s="29">
        <v>2</v>
      </c>
      <c r="H77" s="29">
        <v>4</v>
      </c>
      <c r="I77" s="29">
        <v>0.3</v>
      </c>
      <c r="J77" s="29">
        <v>2.4</v>
      </c>
      <c r="K77" s="29" t="s">
        <v>90</v>
      </c>
      <c r="L77" s="29" t="s">
        <v>145</v>
      </c>
      <c r="M77"/>
    </row>
    <row r="78" spans="1:13" x14ac:dyDescent="0.2">
      <c r="A78" s="28">
        <f t="shared" si="9"/>
        <v>43.010000000000005</v>
      </c>
      <c r="B78" s="29" t="s">
        <v>35</v>
      </c>
      <c r="C78" s="36" t="s">
        <v>147</v>
      </c>
      <c r="D78" s="42">
        <v>100</v>
      </c>
      <c r="E78" s="41">
        <v>42</v>
      </c>
      <c r="F78" s="42">
        <v>0.97</v>
      </c>
      <c r="G78" s="42">
        <v>3.37</v>
      </c>
      <c r="H78" s="42">
        <v>5.2</v>
      </c>
      <c r="I78" s="42">
        <v>0</v>
      </c>
      <c r="J78" s="42">
        <v>5.2</v>
      </c>
      <c r="K78" s="29" t="s">
        <v>148</v>
      </c>
      <c r="L78" s="29" t="s">
        <v>145</v>
      </c>
      <c r="M78"/>
    </row>
    <row r="79" spans="1:13" x14ac:dyDescent="0.2">
      <c r="A79" s="28">
        <f t="shared" si="9"/>
        <v>0</v>
      </c>
      <c r="B79" s="29" t="s">
        <v>35</v>
      </c>
      <c r="C79" s="36" t="s">
        <v>149</v>
      </c>
      <c r="D79" s="42">
        <v>8</v>
      </c>
      <c r="E79" s="41">
        <v>1</v>
      </c>
      <c r="F79" s="42">
        <v>0</v>
      </c>
      <c r="G79" s="42">
        <v>0</v>
      </c>
      <c r="H79" s="42">
        <v>0</v>
      </c>
      <c r="I79" s="42">
        <v>0</v>
      </c>
      <c r="J79" s="42">
        <v>0</v>
      </c>
      <c r="K79" s="29" t="s">
        <v>137</v>
      </c>
      <c r="L79" s="29" t="s">
        <v>104</v>
      </c>
    </row>
    <row r="80" spans="1:13" x14ac:dyDescent="0.2">
      <c r="A80" s="28">
        <f t="shared" si="9"/>
        <v>30.574999999999999</v>
      </c>
      <c r="B80" s="29" t="s">
        <v>35</v>
      </c>
      <c r="C80" s="30" t="s">
        <v>150</v>
      </c>
      <c r="D80" s="33">
        <v>54.75</v>
      </c>
      <c r="E80" s="46">
        <v>22</v>
      </c>
      <c r="F80" s="33">
        <v>0.47499999999999998</v>
      </c>
      <c r="G80" s="33">
        <v>1.75</v>
      </c>
      <c r="H80" s="33">
        <v>6.25</v>
      </c>
      <c r="I80" s="33">
        <v>1.425</v>
      </c>
      <c r="J80" s="33">
        <v>0</v>
      </c>
      <c r="K80" s="33" t="s">
        <v>151</v>
      </c>
      <c r="L80" s="33" t="s">
        <v>109</v>
      </c>
    </row>
    <row r="81" spans="1:13" x14ac:dyDescent="0.2">
      <c r="A81" s="28">
        <f t="shared" si="9"/>
        <v>252</v>
      </c>
      <c r="B81" s="29" t="s">
        <v>35</v>
      </c>
      <c r="C81" s="36" t="s">
        <v>152</v>
      </c>
      <c r="D81" s="29">
        <v>28</v>
      </c>
      <c r="E81" s="41">
        <v>238</v>
      </c>
      <c r="F81" s="29">
        <v>28</v>
      </c>
      <c r="G81" s="29">
        <v>0</v>
      </c>
      <c r="H81" s="29">
        <v>0</v>
      </c>
      <c r="I81" s="29">
        <v>0</v>
      </c>
      <c r="J81" s="29">
        <v>0</v>
      </c>
      <c r="K81" s="29" t="s">
        <v>153</v>
      </c>
      <c r="L81" s="29" t="s">
        <v>59</v>
      </c>
    </row>
    <row r="82" spans="1:13" x14ac:dyDescent="0.2">
      <c r="A82" s="28">
        <f t="shared" si="9"/>
        <v>85.5</v>
      </c>
      <c r="B82" s="29" t="s">
        <v>35</v>
      </c>
      <c r="C82" s="36" t="s">
        <v>154</v>
      </c>
      <c r="D82" s="29">
        <v>12</v>
      </c>
      <c r="E82" s="41">
        <v>90</v>
      </c>
      <c r="F82" s="29">
        <v>5.5</v>
      </c>
      <c r="G82" s="29">
        <v>6</v>
      </c>
      <c r="H82" s="29">
        <v>4</v>
      </c>
      <c r="I82" s="29">
        <v>1</v>
      </c>
      <c r="J82" s="29">
        <v>1</v>
      </c>
      <c r="K82" s="29" t="s">
        <v>155</v>
      </c>
      <c r="L82" s="29" t="s">
        <v>59</v>
      </c>
    </row>
    <row r="83" spans="1:13" x14ac:dyDescent="0.2">
      <c r="A83" s="28">
        <f t="shared" si="9"/>
        <v>188</v>
      </c>
      <c r="B83" s="29" t="s">
        <v>35</v>
      </c>
      <c r="C83" s="36" t="s">
        <v>156</v>
      </c>
      <c r="D83" s="29">
        <v>32</v>
      </c>
      <c r="E83" s="29">
        <v>190</v>
      </c>
      <c r="F83" s="29">
        <v>16</v>
      </c>
      <c r="G83" s="29">
        <v>7</v>
      </c>
      <c r="H83" s="29">
        <v>6</v>
      </c>
      <c r="I83" s="29">
        <v>2</v>
      </c>
      <c r="J83" s="29">
        <v>3</v>
      </c>
      <c r="K83" s="29" t="s">
        <v>157</v>
      </c>
      <c r="L83" s="29" t="s">
        <v>59</v>
      </c>
    </row>
    <row r="84" spans="1:13" x14ac:dyDescent="0.2">
      <c r="A84" s="34">
        <f t="shared" si="9"/>
        <v>210.35</v>
      </c>
      <c r="B84" s="35" t="s">
        <v>35</v>
      </c>
      <c r="C84" s="30" t="s">
        <v>158</v>
      </c>
      <c r="D84" s="31">
        <v>30</v>
      </c>
      <c r="E84" s="31">
        <v>207</v>
      </c>
      <c r="F84" s="32">
        <v>21.59</v>
      </c>
      <c r="G84" s="32">
        <v>2.75</v>
      </c>
      <c r="H84" s="32">
        <v>4.16</v>
      </c>
      <c r="I84" s="32">
        <v>2.9</v>
      </c>
      <c r="J84" s="32">
        <v>1.19</v>
      </c>
      <c r="K84" s="33" t="s">
        <v>159</v>
      </c>
      <c r="L84" s="33" t="s">
        <v>38</v>
      </c>
    </row>
    <row r="85" spans="1:13" x14ac:dyDescent="0.2">
      <c r="A85" s="34">
        <f t="shared" si="9"/>
        <v>73.5</v>
      </c>
      <c r="B85" s="35" t="s">
        <v>35</v>
      </c>
      <c r="C85" s="30" t="s">
        <v>160</v>
      </c>
      <c r="D85" s="31">
        <v>20</v>
      </c>
      <c r="E85" s="31">
        <v>80</v>
      </c>
      <c r="F85" s="32">
        <v>1.5</v>
      </c>
      <c r="G85" s="32">
        <v>15</v>
      </c>
      <c r="H85" s="32">
        <v>1</v>
      </c>
      <c r="I85" s="32">
        <v>1</v>
      </c>
      <c r="J85" s="32">
        <v>0</v>
      </c>
      <c r="K85" s="33" t="s">
        <v>161</v>
      </c>
      <c r="L85" s="33" t="s">
        <v>99</v>
      </c>
    </row>
    <row r="86" spans="1:13" x14ac:dyDescent="0.2">
      <c r="A86" s="28">
        <f t="shared" si="9"/>
        <v>56.42</v>
      </c>
      <c r="B86" s="29" t="s">
        <v>35</v>
      </c>
      <c r="C86" s="37" t="s">
        <v>162</v>
      </c>
      <c r="D86" s="38">
        <v>10</v>
      </c>
      <c r="E86" s="38">
        <v>54</v>
      </c>
      <c r="F86" s="39">
        <v>4.58</v>
      </c>
      <c r="G86" s="39">
        <v>2.4500000000000002</v>
      </c>
      <c r="H86" s="39">
        <v>1.75</v>
      </c>
      <c r="I86" s="39">
        <v>0.4</v>
      </c>
      <c r="J86" s="39">
        <v>0.1</v>
      </c>
      <c r="K86" s="40" t="s">
        <v>163</v>
      </c>
      <c r="L86" s="40" t="s">
        <v>79</v>
      </c>
    </row>
    <row r="87" spans="1:13" x14ac:dyDescent="0.2">
      <c r="A87" s="28">
        <f t="shared" si="9"/>
        <v>30.836499999999997</v>
      </c>
      <c r="B87" s="29" t="s">
        <v>35</v>
      </c>
      <c r="C87" s="36" t="s">
        <v>164</v>
      </c>
      <c r="D87" s="29">
        <v>9.6999999999999993</v>
      </c>
      <c r="E87" s="29">
        <v>29</v>
      </c>
      <c r="F87" s="47">
        <v>4.8500000000000001E-2</v>
      </c>
      <c r="G87" s="29">
        <v>0.3</v>
      </c>
      <c r="H87" s="29">
        <v>7.7</v>
      </c>
      <c r="I87" s="29">
        <v>0.4</v>
      </c>
      <c r="J87" s="29">
        <v>5.7</v>
      </c>
      <c r="K87" s="29" t="s">
        <v>165</v>
      </c>
      <c r="L87" s="29" t="s">
        <v>48</v>
      </c>
    </row>
    <row r="88" spans="1:13" x14ac:dyDescent="0.2">
      <c r="A88" s="28">
        <f t="shared" si="9"/>
        <v>32.010000000000005</v>
      </c>
      <c r="B88" s="29" t="s">
        <v>35</v>
      </c>
      <c r="C88" s="36" t="s">
        <v>166</v>
      </c>
      <c r="D88" s="29">
        <v>10</v>
      </c>
      <c r="E88" s="29">
        <v>30</v>
      </c>
      <c r="F88" s="29">
        <v>0.05</v>
      </c>
      <c r="G88" s="29">
        <v>0.34</v>
      </c>
      <c r="H88" s="29">
        <v>7.95</v>
      </c>
      <c r="I88" s="29">
        <v>0.4</v>
      </c>
      <c r="J88" s="29">
        <v>5.92</v>
      </c>
      <c r="K88" s="29" t="s">
        <v>167</v>
      </c>
      <c r="L88" s="29" t="s">
        <v>48</v>
      </c>
    </row>
    <row r="89" spans="1:13" x14ac:dyDescent="0.2">
      <c r="A89" s="28">
        <f t="shared" si="9"/>
        <v>82.5</v>
      </c>
      <c r="B89" s="29" t="s">
        <v>35</v>
      </c>
      <c r="C89" s="36" t="s">
        <v>168</v>
      </c>
      <c r="D89" s="29">
        <v>15</v>
      </c>
      <c r="E89" s="29">
        <v>80</v>
      </c>
      <c r="F89" s="29">
        <v>4.5</v>
      </c>
      <c r="G89" s="29">
        <v>3</v>
      </c>
      <c r="H89" s="29">
        <v>8</v>
      </c>
      <c r="I89" s="29">
        <v>0.5</v>
      </c>
      <c r="J89" s="29">
        <v>6</v>
      </c>
      <c r="K89" s="29" t="s">
        <v>169</v>
      </c>
      <c r="L89" s="29" t="s">
        <v>62</v>
      </c>
    </row>
    <row r="90" spans="1:13" x14ac:dyDescent="0.2">
      <c r="A90" s="28">
        <f t="shared" ref="A90:A101" si="10">F90*9+(G90+H90-I90)*4</f>
        <v>0</v>
      </c>
      <c r="B90" s="29" t="s">
        <v>35</v>
      </c>
      <c r="C90" s="43" t="s">
        <v>170</v>
      </c>
      <c r="D90" s="35">
        <v>0.5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 t="s">
        <v>171</v>
      </c>
      <c r="L90" s="35" t="s">
        <v>82</v>
      </c>
    </row>
    <row r="91" spans="1:13" x14ac:dyDescent="0.2">
      <c r="A91" s="28">
        <f t="shared" si="10"/>
        <v>53.599999999999994</v>
      </c>
      <c r="B91" s="29" t="s">
        <v>35</v>
      </c>
      <c r="C91" s="30" t="s">
        <v>172</v>
      </c>
      <c r="D91" s="31">
        <v>10</v>
      </c>
      <c r="E91" s="31">
        <v>57</v>
      </c>
      <c r="F91" s="32">
        <v>4.8</v>
      </c>
      <c r="G91" s="32">
        <v>1.7</v>
      </c>
      <c r="H91" s="32">
        <v>2.6</v>
      </c>
      <c r="I91" s="32">
        <v>1.7</v>
      </c>
      <c r="J91" s="32">
        <v>0.05</v>
      </c>
      <c r="K91" s="33" t="s">
        <v>173</v>
      </c>
      <c r="L91" s="33" t="s">
        <v>79</v>
      </c>
    </row>
    <row r="92" spans="1:13" x14ac:dyDescent="0.2">
      <c r="A92" s="34">
        <f t="shared" si="10"/>
        <v>2</v>
      </c>
      <c r="B92" s="35" t="s">
        <v>35</v>
      </c>
      <c r="C92" s="36" t="s">
        <v>174</v>
      </c>
      <c r="D92" s="29">
        <v>1</v>
      </c>
      <c r="E92" s="29">
        <v>2</v>
      </c>
      <c r="F92" s="29">
        <v>0</v>
      </c>
      <c r="G92" s="29">
        <v>0</v>
      </c>
      <c r="H92" s="29">
        <v>1</v>
      </c>
      <c r="I92" s="29">
        <v>0.5</v>
      </c>
      <c r="J92" s="29">
        <v>0</v>
      </c>
      <c r="K92" s="29" t="s">
        <v>175</v>
      </c>
      <c r="L92" s="29" t="s">
        <v>104</v>
      </c>
    </row>
    <row r="93" spans="1:13" x14ac:dyDescent="0.2">
      <c r="A93" s="28">
        <f t="shared" si="10"/>
        <v>57.28</v>
      </c>
      <c r="B93" s="29" t="s">
        <v>35</v>
      </c>
      <c r="C93" s="30" t="s">
        <v>176</v>
      </c>
      <c r="D93" s="33">
        <v>10</v>
      </c>
      <c r="E93" s="33">
        <v>57</v>
      </c>
      <c r="F93" s="33">
        <v>4.96</v>
      </c>
      <c r="G93" s="33">
        <v>2.2799999999999998</v>
      </c>
      <c r="H93" s="33">
        <v>1.88</v>
      </c>
      <c r="I93" s="33">
        <v>1</v>
      </c>
      <c r="J93" s="33">
        <v>0.26</v>
      </c>
      <c r="K93" s="33" t="s">
        <v>177</v>
      </c>
      <c r="L93" s="33" t="s">
        <v>79</v>
      </c>
    </row>
    <row r="94" spans="1:13" x14ac:dyDescent="0.2">
      <c r="A94" s="28">
        <f t="shared" si="10"/>
        <v>150</v>
      </c>
      <c r="B94" s="29" t="s">
        <v>35</v>
      </c>
      <c r="C94" s="36" t="s">
        <v>178</v>
      </c>
      <c r="D94" s="29">
        <v>25</v>
      </c>
      <c r="E94" s="29">
        <v>140</v>
      </c>
      <c r="F94" s="29">
        <v>10</v>
      </c>
      <c r="G94" s="29">
        <v>1</v>
      </c>
      <c r="H94" s="29">
        <v>14</v>
      </c>
      <c r="I94" s="29">
        <v>0</v>
      </c>
      <c r="J94" s="29">
        <v>0</v>
      </c>
      <c r="K94" s="29" t="s">
        <v>179</v>
      </c>
      <c r="L94" s="29" t="s">
        <v>82</v>
      </c>
    </row>
    <row r="95" spans="1:13" x14ac:dyDescent="0.2">
      <c r="A95" s="28">
        <f t="shared" si="10"/>
        <v>2</v>
      </c>
      <c r="B95" s="29" t="s">
        <v>35</v>
      </c>
      <c r="C95" s="36" t="s">
        <v>180</v>
      </c>
      <c r="D95" s="29">
        <v>4.2</v>
      </c>
      <c r="E95" s="29">
        <v>2</v>
      </c>
      <c r="F95" s="29">
        <v>0</v>
      </c>
      <c r="G95" s="29">
        <v>0</v>
      </c>
      <c r="H95" s="29">
        <v>0.5</v>
      </c>
      <c r="I95" s="29">
        <v>0</v>
      </c>
      <c r="J95" s="29">
        <v>0.5</v>
      </c>
      <c r="K95" s="29" t="s">
        <v>181</v>
      </c>
      <c r="L95" s="29" t="s">
        <v>82</v>
      </c>
      <c r="M95"/>
    </row>
    <row r="96" spans="1:13" x14ac:dyDescent="0.2">
      <c r="A96" s="28">
        <f t="shared" si="10"/>
        <v>67.3</v>
      </c>
      <c r="B96" s="29" t="s">
        <v>35</v>
      </c>
      <c r="C96" s="30" t="s">
        <v>182</v>
      </c>
      <c r="D96" s="31">
        <v>10</v>
      </c>
      <c r="E96" s="31">
        <v>65</v>
      </c>
      <c r="F96" s="32">
        <v>6.5</v>
      </c>
      <c r="G96" s="32">
        <v>1.5</v>
      </c>
      <c r="H96" s="32">
        <v>1.4</v>
      </c>
      <c r="I96" s="32">
        <v>0.7</v>
      </c>
      <c r="J96" s="32">
        <v>0.3</v>
      </c>
      <c r="K96" s="33" t="s">
        <v>183</v>
      </c>
      <c r="L96" s="33" t="s">
        <v>38</v>
      </c>
      <c r="M96"/>
    </row>
    <row r="97" spans="1:13" x14ac:dyDescent="0.2">
      <c r="A97" s="28">
        <f t="shared" si="10"/>
        <v>0</v>
      </c>
      <c r="B97" s="29" t="s">
        <v>35</v>
      </c>
      <c r="C97" s="30" t="s">
        <v>184</v>
      </c>
      <c r="D97" s="33">
        <v>0.8</v>
      </c>
      <c r="E97" s="33">
        <v>5</v>
      </c>
      <c r="F97" s="33">
        <v>0</v>
      </c>
      <c r="G97" s="33">
        <v>0</v>
      </c>
      <c r="H97" s="33">
        <v>0.8</v>
      </c>
      <c r="I97" s="33">
        <v>0.8</v>
      </c>
      <c r="J97" s="33">
        <v>0</v>
      </c>
      <c r="K97" s="33" t="s">
        <v>185</v>
      </c>
      <c r="L97" s="33" t="s">
        <v>109</v>
      </c>
      <c r="M97"/>
    </row>
    <row r="98" spans="1:13" x14ac:dyDescent="0.2">
      <c r="A98" s="34">
        <f t="shared" si="10"/>
        <v>75.199999999999989</v>
      </c>
      <c r="B98" s="35" t="s">
        <v>35</v>
      </c>
      <c r="C98" s="36" t="s">
        <v>186</v>
      </c>
      <c r="D98" s="42">
        <v>100</v>
      </c>
      <c r="E98" s="41">
        <v>75</v>
      </c>
      <c r="F98" s="42">
        <v>0.4</v>
      </c>
      <c r="G98" s="42">
        <v>6.5</v>
      </c>
      <c r="H98" s="42">
        <v>11.4</v>
      </c>
      <c r="I98" s="42">
        <v>0</v>
      </c>
      <c r="J98" s="42">
        <v>0</v>
      </c>
      <c r="K98" s="29" t="s">
        <v>187</v>
      </c>
      <c r="L98" s="29" t="s">
        <v>188</v>
      </c>
      <c r="M98"/>
    </row>
    <row r="99" spans="1:13" x14ac:dyDescent="0.2">
      <c r="A99" s="28">
        <f t="shared" si="10"/>
        <v>79.5</v>
      </c>
      <c r="B99" s="29" t="s">
        <v>35</v>
      </c>
      <c r="C99" s="43" t="s">
        <v>189</v>
      </c>
      <c r="D99" s="44">
        <v>156</v>
      </c>
      <c r="E99" s="45">
        <v>80</v>
      </c>
      <c r="F99" s="44">
        <v>3.5</v>
      </c>
      <c r="G99" s="44">
        <v>4</v>
      </c>
      <c r="H99" s="44">
        <v>8</v>
      </c>
      <c r="I99" s="44">
        <v>0</v>
      </c>
      <c r="J99" s="44">
        <v>0</v>
      </c>
      <c r="K99" s="35" t="s">
        <v>190</v>
      </c>
      <c r="L99" s="35" t="s">
        <v>188</v>
      </c>
      <c r="M99"/>
    </row>
    <row r="100" spans="1:13" x14ac:dyDescent="0.2">
      <c r="A100" s="48">
        <f t="shared" si="10"/>
        <v>74.7</v>
      </c>
      <c r="B100" s="49" t="s">
        <v>35</v>
      </c>
      <c r="C100" s="36" t="s">
        <v>191</v>
      </c>
      <c r="D100" s="29">
        <v>104</v>
      </c>
      <c r="E100" s="29">
        <v>75</v>
      </c>
      <c r="F100" s="29">
        <v>3.5</v>
      </c>
      <c r="G100" s="29">
        <v>3.7</v>
      </c>
      <c r="H100" s="29">
        <v>7.1</v>
      </c>
      <c r="I100" s="29">
        <v>0</v>
      </c>
      <c r="J100" s="29">
        <v>5.0999999999999996</v>
      </c>
      <c r="K100" s="29" t="s">
        <v>187</v>
      </c>
      <c r="L100" s="29" t="s">
        <v>188</v>
      </c>
    </row>
    <row r="101" spans="1:13" x14ac:dyDescent="0.2">
      <c r="A101" s="48">
        <f t="shared" si="10"/>
        <v>72.599999999999994</v>
      </c>
      <c r="B101" s="49" t="s">
        <v>35</v>
      </c>
      <c r="C101" s="50" t="s">
        <v>192</v>
      </c>
      <c r="D101" s="51">
        <v>125</v>
      </c>
      <c r="E101" s="52">
        <v>73</v>
      </c>
      <c r="F101" s="51">
        <v>3</v>
      </c>
      <c r="G101" s="51">
        <v>3.4</v>
      </c>
      <c r="H101" s="51">
        <v>8</v>
      </c>
      <c r="I101" s="51">
        <v>0</v>
      </c>
      <c r="J101" s="51">
        <v>4</v>
      </c>
      <c r="K101" s="49" t="s">
        <v>187</v>
      </c>
      <c r="L101" s="49" t="s">
        <v>188</v>
      </c>
    </row>
    <row r="102" spans="1:13" x14ac:dyDescent="0.2"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/>
    </row>
    <row r="103" spans="1:13" x14ac:dyDescent="0.2">
      <c r="C103" s="54" t="s">
        <v>193</v>
      </c>
      <c r="D103" s="55">
        <v>4.5999999999999996</v>
      </c>
      <c r="E103" s="55">
        <v>2.4</v>
      </c>
      <c r="F103" s="55">
        <v>0</v>
      </c>
      <c r="G103" s="55">
        <v>0</v>
      </c>
      <c r="H103" s="55">
        <v>1.1000000000000001</v>
      </c>
      <c r="I103" s="55">
        <v>0</v>
      </c>
      <c r="J103" s="55">
        <v>0</v>
      </c>
      <c r="K103" s="55" t="s">
        <v>194</v>
      </c>
      <c r="L103" s="55" t="s">
        <v>195</v>
      </c>
    </row>
    <row r="104" spans="1:13" x14ac:dyDescent="0.2">
      <c r="C104" s="54" t="s">
        <v>196</v>
      </c>
      <c r="D104" s="55">
        <v>4</v>
      </c>
      <c r="E104" s="55">
        <v>10</v>
      </c>
      <c r="F104" s="55">
        <v>0</v>
      </c>
      <c r="G104" s="55">
        <v>0</v>
      </c>
      <c r="H104" s="55">
        <v>4</v>
      </c>
      <c r="I104" s="55">
        <v>0</v>
      </c>
      <c r="J104" s="55">
        <v>0</v>
      </c>
      <c r="K104" s="55" t="s">
        <v>197</v>
      </c>
      <c r="L104" s="55" t="s">
        <v>82</v>
      </c>
    </row>
    <row r="105" spans="1:13" x14ac:dyDescent="0.2">
      <c r="C105" s="54" t="s">
        <v>198</v>
      </c>
      <c r="D105" s="55">
        <v>5</v>
      </c>
      <c r="E105" s="55">
        <v>30</v>
      </c>
      <c r="F105" s="55">
        <v>0</v>
      </c>
      <c r="G105" s="55">
        <v>3</v>
      </c>
      <c r="H105" s="55">
        <v>4.7</v>
      </c>
      <c r="I105" s="55">
        <v>0</v>
      </c>
      <c r="J105" s="55">
        <v>4.3</v>
      </c>
      <c r="K105" s="55" t="s">
        <v>199</v>
      </c>
      <c r="L105" s="55" t="s">
        <v>145</v>
      </c>
    </row>
    <row r="106" spans="1:13" x14ac:dyDescent="0.2">
      <c r="C106" s="54" t="s">
        <v>200</v>
      </c>
      <c r="D106" s="55">
        <v>7</v>
      </c>
      <c r="E106" s="55">
        <v>32</v>
      </c>
      <c r="F106" s="55">
        <v>1.4</v>
      </c>
      <c r="G106" s="55">
        <v>1</v>
      </c>
      <c r="H106" s="55">
        <v>4</v>
      </c>
      <c r="I106" s="55">
        <v>0</v>
      </c>
      <c r="J106" s="55">
        <v>3</v>
      </c>
      <c r="K106" s="55" t="s">
        <v>201</v>
      </c>
      <c r="L106" s="55"/>
    </row>
    <row r="107" spans="1:13" x14ac:dyDescent="0.2">
      <c r="C107" s="56"/>
      <c r="D107" s="56"/>
      <c r="E107" s="56"/>
      <c r="F107" s="56"/>
      <c r="G107" s="56"/>
      <c r="H107" s="56"/>
      <c r="I107" s="56"/>
      <c r="J107" s="56"/>
      <c r="K107" s="56"/>
      <c r="L107" s="56"/>
    </row>
  </sheetData>
  <autoFilter ref="C25:L99" xr:uid="{00000000-0009-0000-0000-000000000000}"/>
  <conditionalFormatting sqref="A3:A17 E3:J17">
    <cfRule type="cellIs" dxfId="6" priority="2" operator="equal">
      <formula>0</formula>
    </cfRule>
  </conditionalFormatting>
  <dataValidations count="2">
    <dataValidation operator="equal" allowBlank="1" showErrorMessage="1" sqref="A1:L2 A3:B22 D3:L17 C18:L22 C26:L101" xr:uid="{00000000-0002-0000-0000-000000000000}">
      <formula1>0</formula1>
      <formula2>0</formula2>
    </dataValidation>
    <dataValidation type="list" operator="equal" allowBlank="1" showErrorMessage="1" sqref="C3:C17" xr:uid="{00000000-0002-0000-0000-000001000000}">
      <formula1>$C$26:$C$101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scale="52" orientation="portrait" useFirstPageNumber="1" horizontalDpi="300" verticalDpi="300"/>
  <headerFooter>
    <oddHeader>&amp;C&amp;A</oddHeader>
    <oddFooter>&amp;CPage &amp;P</oddFooter>
  </headerFooter>
  <colBreaks count="1" manualBreakCount="1">
    <brk id="13" max="1048575" man="1"/>
  </colBreak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320"/>
  </sheetPr>
  <dimension ref="A1:L36"/>
  <sheetViews>
    <sheetView showGridLines="0" topLeftCell="A21" zoomScale="85" zoomScaleNormal="85" workbookViewId="0">
      <selection activeCell="C37" sqref="C37"/>
    </sheetView>
  </sheetViews>
  <sheetFormatPr defaultColWidth="11.5703125" defaultRowHeight="12.75" x14ac:dyDescent="0.2"/>
  <cols>
    <col min="2" max="2" width="8.140625" customWidth="1"/>
    <col min="3" max="3" width="29.85546875" customWidth="1"/>
    <col min="4" max="4" width="11" customWidth="1"/>
    <col min="5" max="5" width="8.7109375" customWidth="1"/>
    <col min="6" max="6" width="6" customWidth="1"/>
    <col min="7" max="7" width="9.42578125" customWidth="1"/>
    <col min="8" max="8" width="8.28515625" customWidth="1"/>
    <col min="9" max="9" width="7.5703125" customWidth="1"/>
    <col min="10" max="10" width="8.28515625" customWidth="1"/>
    <col min="11" max="11" width="17.140625" customWidth="1"/>
  </cols>
  <sheetData>
    <row r="1" spans="1:12" x14ac:dyDescent="0.2">
      <c r="A1" s="57" t="s">
        <v>0</v>
      </c>
      <c r="B1" s="57"/>
      <c r="C1" s="58" t="s">
        <v>202</v>
      </c>
      <c r="D1" s="57"/>
      <c r="E1" s="57"/>
      <c r="F1" s="57"/>
      <c r="G1" s="57"/>
      <c r="H1" s="57"/>
      <c r="I1" s="57"/>
      <c r="J1" s="57"/>
      <c r="K1" s="57"/>
      <c r="L1" s="57"/>
    </row>
    <row r="2" spans="1:12" x14ac:dyDescent="0.2">
      <c r="A2" s="57" t="s">
        <v>23</v>
      </c>
      <c r="B2" s="57" t="s">
        <v>1</v>
      </c>
      <c r="C2" s="57" t="s">
        <v>25</v>
      </c>
      <c r="D2" s="57" t="s">
        <v>26</v>
      </c>
      <c r="E2" s="57" t="s">
        <v>27</v>
      </c>
      <c r="F2" s="57" t="s">
        <v>28</v>
      </c>
      <c r="G2" s="57" t="s">
        <v>29</v>
      </c>
      <c r="H2" s="57" t="s">
        <v>30</v>
      </c>
      <c r="I2" s="57" t="s">
        <v>31</v>
      </c>
      <c r="J2" s="57" t="s">
        <v>32</v>
      </c>
      <c r="K2" s="57" t="s">
        <v>33</v>
      </c>
      <c r="L2" s="57" t="s">
        <v>34</v>
      </c>
    </row>
    <row r="3" spans="1:12" x14ac:dyDescent="0.2">
      <c r="A3" s="59">
        <v>278.8</v>
      </c>
      <c r="B3" s="20" t="s">
        <v>2</v>
      </c>
      <c r="C3" s="60" t="s">
        <v>203</v>
      </c>
      <c r="D3" s="60">
        <v>48</v>
      </c>
      <c r="E3" s="61">
        <v>280</v>
      </c>
      <c r="F3" s="62">
        <v>24.4</v>
      </c>
      <c r="G3" s="62">
        <v>10.4</v>
      </c>
      <c r="H3" s="62">
        <v>9.6</v>
      </c>
      <c r="I3" s="62">
        <v>5.2</v>
      </c>
      <c r="J3" s="62">
        <v>2</v>
      </c>
      <c r="K3" s="63" t="s">
        <v>115</v>
      </c>
      <c r="L3" s="63" t="s">
        <v>116</v>
      </c>
    </row>
    <row r="4" spans="1:12" x14ac:dyDescent="0.2">
      <c r="A4" s="59">
        <v>29.1</v>
      </c>
      <c r="B4" s="20" t="s">
        <v>3</v>
      </c>
      <c r="C4" s="60" t="s">
        <v>204</v>
      </c>
      <c r="D4" s="60">
        <v>16</v>
      </c>
      <c r="E4" s="61">
        <v>56.297397769516699</v>
      </c>
      <c r="F4" s="62">
        <v>0.7</v>
      </c>
      <c r="G4" s="62">
        <v>2.5</v>
      </c>
      <c r="H4" s="62">
        <v>10</v>
      </c>
      <c r="I4" s="62">
        <v>6.8</v>
      </c>
      <c r="J4" s="62">
        <v>0.1</v>
      </c>
      <c r="K4" s="63" t="s">
        <v>111</v>
      </c>
      <c r="L4" s="63" t="s">
        <v>109</v>
      </c>
    </row>
    <row r="5" spans="1:12" x14ac:dyDescent="0.2">
      <c r="A5" s="59">
        <v>0</v>
      </c>
      <c r="B5" s="20" t="s">
        <v>4</v>
      </c>
      <c r="C5" s="60" t="s">
        <v>205</v>
      </c>
      <c r="D5" s="60">
        <v>36</v>
      </c>
      <c r="E5" s="61">
        <v>0</v>
      </c>
      <c r="F5" s="62">
        <v>0</v>
      </c>
      <c r="G5" s="62">
        <v>0</v>
      </c>
      <c r="H5" s="62">
        <v>27</v>
      </c>
      <c r="I5" s="62">
        <v>27</v>
      </c>
      <c r="J5" s="62">
        <v>0</v>
      </c>
      <c r="K5" s="63" t="s">
        <v>108</v>
      </c>
      <c r="L5" s="63" t="s">
        <v>109</v>
      </c>
    </row>
    <row r="6" spans="1:12" x14ac:dyDescent="0.2">
      <c r="A6" s="59">
        <v>0</v>
      </c>
      <c r="B6" s="20" t="s">
        <v>5</v>
      </c>
      <c r="C6" s="60" t="s">
        <v>149</v>
      </c>
      <c r="D6" s="60">
        <v>48</v>
      </c>
      <c r="E6" s="61">
        <v>6</v>
      </c>
      <c r="F6" s="62">
        <v>0</v>
      </c>
      <c r="G6" s="62">
        <v>0</v>
      </c>
      <c r="H6" s="62">
        <v>0</v>
      </c>
      <c r="I6" s="62">
        <v>0</v>
      </c>
      <c r="J6" s="62">
        <v>0</v>
      </c>
      <c r="K6" s="63" t="s">
        <v>137</v>
      </c>
      <c r="L6" s="63" t="s">
        <v>104</v>
      </c>
    </row>
    <row r="7" spans="1:12" x14ac:dyDescent="0.2">
      <c r="A7" s="59">
        <v>84</v>
      </c>
      <c r="B7" s="20" t="s">
        <v>6</v>
      </c>
      <c r="C7" s="60" t="s">
        <v>206</v>
      </c>
      <c r="D7" s="60">
        <v>10</v>
      </c>
      <c r="E7" s="61">
        <v>20</v>
      </c>
      <c r="F7" s="62">
        <v>1</v>
      </c>
      <c r="G7" s="62">
        <v>2</v>
      </c>
      <c r="H7" s="62">
        <v>6</v>
      </c>
      <c r="I7" s="62">
        <v>4</v>
      </c>
      <c r="J7" s="62">
        <v>0</v>
      </c>
      <c r="K7" s="63" t="s">
        <v>86</v>
      </c>
      <c r="L7" s="63" t="s">
        <v>82</v>
      </c>
    </row>
    <row r="8" spans="1:12" x14ac:dyDescent="0.2">
      <c r="A8" s="59">
        <v>150.4</v>
      </c>
      <c r="B8" s="20" t="s">
        <v>7</v>
      </c>
      <c r="C8" s="60" t="s">
        <v>105</v>
      </c>
      <c r="D8" s="60">
        <v>37.6</v>
      </c>
      <c r="E8" s="61">
        <v>150.4</v>
      </c>
      <c r="F8" s="62">
        <v>0</v>
      </c>
      <c r="G8" s="62">
        <v>37.6</v>
      </c>
      <c r="H8" s="62">
        <v>0</v>
      </c>
      <c r="I8" s="62">
        <v>0</v>
      </c>
      <c r="J8" s="62">
        <v>0</v>
      </c>
      <c r="K8" s="63" t="s">
        <v>106</v>
      </c>
      <c r="L8" s="63" t="s">
        <v>99</v>
      </c>
    </row>
    <row r="9" spans="1:12" x14ac:dyDescent="0.2">
      <c r="A9" s="59" t="e">
        <f>#N/A</f>
        <v>#N/A</v>
      </c>
      <c r="B9" s="20" t="s">
        <v>8</v>
      </c>
      <c r="C9" s="60"/>
      <c r="D9" s="60"/>
      <c r="E9" s="61" t="e">
        <f>#N/A</f>
        <v>#N/A</v>
      </c>
      <c r="F9" s="62" t="e">
        <f>#N/A</f>
        <v>#N/A</v>
      </c>
      <c r="G9" s="62" t="e">
        <f>#N/A</f>
        <v>#N/A</v>
      </c>
      <c r="H9" s="62" t="e">
        <f>#N/A</f>
        <v>#N/A</v>
      </c>
      <c r="I9" s="62" t="e">
        <f>#N/A</f>
        <v>#N/A</v>
      </c>
      <c r="J9" s="62" t="e">
        <f>#N/A</f>
        <v>#N/A</v>
      </c>
      <c r="K9" s="63"/>
      <c r="L9" s="63"/>
    </row>
    <row r="10" spans="1:12" x14ac:dyDescent="0.2">
      <c r="A10" s="59">
        <v>71.346153846153896</v>
      </c>
      <c r="B10" s="20" t="s">
        <v>9</v>
      </c>
      <c r="C10" s="60" t="s">
        <v>207</v>
      </c>
      <c r="D10" s="60">
        <v>140</v>
      </c>
      <c r="E10" s="61">
        <v>71.794871794871796</v>
      </c>
      <c r="F10" s="62">
        <v>3.1410256410256401</v>
      </c>
      <c r="G10" s="62">
        <v>3.5897435897435899</v>
      </c>
      <c r="H10" s="62">
        <v>7.1794871794871797</v>
      </c>
      <c r="I10" s="62">
        <v>0</v>
      </c>
      <c r="J10" s="62">
        <v>0</v>
      </c>
      <c r="K10" s="63" t="s">
        <v>190</v>
      </c>
      <c r="L10" s="63" t="s">
        <v>188</v>
      </c>
    </row>
    <row r="11" spans="1:12" x14ac:dyDescent="0.2">
      <c r="A11" s="59">
        <v>4</v>
      </c>
      <c r="B11" s="20" t="s">
        <v>10</v>
      </c>
      <c r="C11" s="60" t="s">
        <v>180</v>
      </c>
      <c r="D11" s="60">
        <v>4.2</v>
      </c>
      <c r="E11" s="61">
        <v>2</v>
      </c>
      <c r="F11" s="62">
        <v>0</v>
      </c>
      <c r="G11" s="62">
        <v>0</v>
      </c>
      <c r="H11" s="62">
        <v>0.5</v>
      </c>
      <c r="I11" s="62">
        <v>0</v>
      </c>
      <c r="J11" s="62">
        <v>0.5</v>
      </c>
      <c r="K11" s="63" t="s">
        <v>181</v>
      </c>
      <c r="L11" s="63" t="s">
        <v>82</v>
      </c>
    </row>
    <row r="12" spans="1:12" x14ac:dyDescent="0.2">
      <c r="A12" s="59">
        <v>142.82</v>
      </c>
      <c r="B12" s="20" t="s">
        <v>11</v>
      </c>
      <c r="C12" s="60" t="s">
        <v>208</v>
      </c>
      <c r="D12" s="60">
        <v>100</v>
      </c>
      <c r="E12" s="61">
        <v>148</v>
      </c>
      <c r="F12" s="62">
        <v>9.94</v>
      </c>
      <c r="G12" s="62">
        <v>12.54</v>
      </c>
      <c r="H12" s="62">
        <v>0.8</v>
      </c>
      <c r="I12" s="62">
        <v>0</v>
      </c>
      <c r="J12" s="62">
        <v>0</v>
      </c>
      <c r="K12" s="63" t="s">
        <v>101</v>
      </c>
      <c r="L12" s="63" t="s">
        <v>59</v>
      </c>
    </row>
    <row r="13" spans="1:12" x14ac:dyDescent="0.2">
      <c r="A13" s="59">
        <v>342</v>
      </c>
      <c r="B13" s="20" t="s">
        <v>12</v>
      </c>
      <c r="C13" s="60" t="s">
        <v>209</v>
      </c>
      <c r="D13" s="60">
        <v>48</v>
      </c>
      <c r="E13" s="61">
        <v>360</v>
      </c>
      <c r="F13" s="62">
        <v>22</v>
      </c>
      <c r="G13" s="62">
        <v>24</v>
      </c>
      <c r="H13" s="62">
        <v>16</v>
      </c>
      <c r="I13" s="62">
        <v>4</v>
      </c>
      <c r="J13" s="62">
        <v>4</v>
      </c>
      <c r="K13" s="63" t="s">
        <v>155</v>
      </c>
      <c r="L13" s="63" t="s">
        <v>59</v>
      </c>
    </row>
    <row r="14" spans="1:12" x14ac:dyDescent="0.2">
      <c r="A14" s="59" t="e">
        <f>#N/A</f>
        <v>#N/A</v>
      </c>
      <c r="B14" s="20" t="s">
        <v>13</v>
      </c>
      <c r="C14" s="60"/>
      <c r="D14" s="60"/>
      <c r="E14" s="61" t="e">
        <f>#N/A</f>
        <v>#N/A</v>
      </c>
      <c r="F14" s="62" t="e">
        <f>#N/A</f>
        <v>#N/A</v>
      </c>
      <c r="G14" s="62" t="e">
        <f>#N/A</f>
        <v>#N/A</v>
      </c>
      <c r="H14" s="62" t="e">
        <f>#N/A</f>
        <v>#N/A</v>
      </c>
      <c r="I14" s="62" t="e">
        <f>#N/A</f>
        <v>#N/A</v>
      </c>
      <c r="J14" s="62" t="e">
        <f>#N/A</f>
        <v>#N/A</v>
      </c>
      <c r="K14" s="63"/>
      <c r="L14" s="63"/>
    </row>
    <row r="15" spans="1:12" x14ac:dyDescent="0.2">
      <c r="A15" s="59">
        <v>0</v>
      </c>
      <c r="B15" s="20" t="s">
        <v>14</v>
      </c>
      <c r="C15" s="60"/>
      <c r="D15" s="60"/>
      <c r="E15" s="61">
        <v>0</v>
      </c>
      <c r="F15" s="62">
        <v>0</v>
      </c>
      <c r="G15" s="62">
        <v>0</v>
      </c>
      <c r="H15" s="62">
        <v>0</v>
      </c>
      <c r="I15" s="62">
        <v>0</v>
      </c>
      <c r="J15" s="62">
        <v>0</v>
      </c>
      <c r="K15" s="63"/>
      <c r="L15" s="63"/>
    </row>
    <row r="16" spans="1:12" x14ac:dyDescent="0.2">
      <c r="A16" s="59">
        <v>48.24</v>
      </c>
      <c r="B16" s="20" t="s">
        <v>15</v>
      </c>
      <c r="C16" s="60" t="s">
        <v>172</v>
      </c>
      <c r="D16" s="60">
        <v>9</v>
      </c>
      <c r="E16" s="61">
        <v>51.3</v>
      </c>
      <c r="F16" s="62">
        <v>4.32</v>
      </c>
      <c r="G16" s="62">
        <v>1.53</v>
      </c>
      <c r="H16" s="62">
        <v>2.34</v>
      </c>
      <c r="I16" s="62">
        <v>1.53</v>
      </c>
      <c r="J16" s="62">
        <v>4.4999999999999998E-2</v>
      </c>
      <c r="K16" s="63" t="s">
        <v>173</v>
      </c>
      <c r="L16" s="63" t="s">
        <v>79</v>
      </c>
    </row>
    <row r="17" spans="1:12" x14ac:dyDescent="0.2">
      <c r="A17" s="59" t="e">
        <f>#N/A</f>
        <v>#N/A</v>
      </c>
      <c r="B17" s="20" t="s">
        <v>16</v>
      </c>
      <c r="C17" s="60"/>
      <c r="D17" s="60"/>
      <c r="E17" s="61" t="e">
        <f>#N/A</f>
        <v>#N/A</v>
      </c>
      <c r="F17" s="62" t="e">
        <f>#N/A</f>
        <v>#N/A</v>
      </c>
      <c r="G17" s="62" t="e">
        <f>#N/A</f>
        <v>#N/A</v>
      </c>
      <c r="H17" s="62" t="e">
        <f>#N/A</f>
        <v>#N/A</v>
      </c>
      <c r="I17" s="62" t="e">
        <f>#N/A</f>
        <v>#N/A</v>
      </c>
      <c r="J17" s="62" t="e">
        <f>#N/A</f>
        <v>#N/A</v>
      </c>
      <c r="K17" s="63"/>
      <c r="L17" s="63"/>
    </row>
    <row r="18" spans="1:12" ht="20.25" x14ac:dyDescent="0.3">
      <c r="A18" s="57"/>
      <c r="B18" s="64"/>
      <c r="C18" s="65" t="s">
        <v>17</v>
      </c>
      <c r="D18" s="65"/>
      <c r="E18" s="66">
        <v>1145.7922695643899</v>
      </c>
      <c r="F18" s="66">
        <v>65.501025641025606</v>
      </c>
      <c r="G18" s="66">
        <v>94.159743589743599</v>
      </c>
      <c r="H18" s="66">
        <v>79.419487179487206</v>
      </c>
      <c r="I18" s="66">
        <v>48.53</v>
      </c>
      <c r="J18" s="66">
        <v>6.6449999999999996</v>
      </c>
      <c r="K18" s="67"/>
      <c r="L18" s="68"/>
    </row>
    <row r="19" spans="1:12" ht="18" x14ac:dyDescent="0.25">
      <c r="A19" s="57"/>
      <c r="B19" s="64"/>
      <c r="C19" s="69" t="s">
        <v>18</v>
      </c>
      <c r="D19" s="69"/>
      <c r="E19" s="69">
        <v>7</v>
      </c>
      <c r="F19" s="68"/>
      <c r="G19" s="68"/>
      <c r="H19" s="68"/>
      <c r="I19" s="68"/>
      <c r="J19" s="68"/>
      <c r="K19" s="67"/>
      <c r="L19" s="68"/>
    </row>
    <row r="20" spans="1:12" ht="18" x14ac:dyDescent="0.25">
      <c r="A20" s="57"/>
      <c r="B20" s="64"/>
      <c r="C20" s="69" t="s">
        <v>20</v>
      </c>
      <c r="D20" s="69"/>
      <c r="E20" s="70">
        <v>163.68460993777001</v>
      </c>
      <c r="F20" s="70">
        <v>9.3572893772893799</v>
      </c>
      <c r="G20" s="70">
        <v>13.451391941391901</v>
      </c>
      <c r="H20" s="70">
        <v>11.345641025640999</v>
      </c>
      <c r="I20" s="70">
        <v>6.9328571428571397</v>
      </c>
      <c r="J20" s="70">
        <v>0.94928571428571396</v>
      </c>
      <c r="K20" s="67"/>
      <c r="L20" s="68"/>
    </row>
    <row r="21" spans="1:12" x14ac:dyDescent="0.2">
      <c r="A21" s="57"/>
      <c r="B21" s="64"/>
      <c r="C21" s="68"/>
      <c r="D21" s="68"/>
      <c r="E21" s="71" t="s">
        <v>27</v>
      </c>
      <c r="F21" s="71" t="s">
        <v>28</v>
      </c>
      <c r="G21" s="71" t="s">
        <v>29</v>
      </c>
      <c r="H21" s="71" t="s">
        <v>30</v>
      </c>
      <c r="I21" s="71" t="s">
        <v>31</v>
      </c>
      <c r="J21" s="71" t="s">
        <v>32</v>
      </c>
      <c r="K21" s="67"/>
      <c r="L21" s="68"/>
    </row>
    <row r="22" spans="1:12" ht="29.85" customHeight="1" x14ac:dyDescent="0.2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</row>
    <row r="23" spans="1:12" x14ac:dyDescent="0.2">
      <c r="A23" s="73" t="s">
        <v>23</v>
      </c>
      <c r="B23" s="73" t="s">
        <v>1</v>
      </c>
      <c r="C23" s="73" t="s">
        <v>25</v>
      </c>
      <c r="D23" s="73" t="s">
        <v>26</v>
      </c>
      <c r="E23" s="73" t="s">
        <v>27</v>
      </c>
      <c r="F23" s="73" t="s">
        <v>28</v>
      </c>
      <c r="G23" s="73" t="s">
        <v>29</v>
      </c>
      <c r="H23" s="73" t="s">
        <v>30</v>
      </c>
      <c r="I23" s="73" t="s">
        <v>31</v>
      </c>
      <c r="J23" s="73" t="s">
        <v>32</v>
      </c>
      <c r="K23" s="73" t="s">
        <v>33</v>
      </c>
      <c r="L23" s="73" t="s">
        <v>34</v>
      </c>
    </row>
    <row r="24" spans="1:12" x14ac:dyDescent="0.2">
      <c r="A24" s="59">
        <v>0</v>
      </c>
      <c r="B24" s="20" t="s">
        <v>2</v>
      </c>
      <c r="C24" s="5" t="s">
        <v>149</v>
      </c>
      <c r="D24" s="6">
        <v>64</v>
      </c>
      <c r="E24" s="61">
        <v>8</v>
      </c>
      <c r="F24" s="62">
        <v>0</v>
      </c>
      <c r="G24" s="62">
        <v>0</v>
      </c>
      <c r="H24" s="62">
        <v>0</v>
      </c>
      <c r="I24" s="62">
        <v>0</v>
      </c>
      <c r="J24" s="62">
        <v>0</v>
      </c>
      <c r="K24" s="63" t="s">
        <v>137</v>
      </c>
      <c r="L24" s="63" t="s">
        <v>104</v>
      </c>
    </row>
    <row r="25" spans="1:12" x14ac:dyDescent="0.2">
      <c r="A25" s="59">
        <v>278.8</v>
      </c>
      <c r="B25" s="20" t="s">
        <v>3</v>
      </c>
      <c r="C25" s="5" t="s">
        <v>114</v>
      </c>
      <c r="D25" s="6">
        <v>48</v>
      </c>
      <c r="E25" s="61">
        <v>280</v>
      </c>
      <c r="F25" s="62">
        <v>24.4</v>
      </c>
      <c r="G25" s="62">
        <v>10.4</v>
      </c>
      <c r="H25" s="62">
        <v>9.6</v>
      </c>
      <c r="I25" s="62">
        <v>5.2</v>
      </c>
      <c r="J25" s="62">
        <v>2</v>
      </c>
      <c r="K25" s="63" t="s">
        <v>115</v>
      </c>
      <c r="L25" s="63" t="s">
        <v>116</v>
      </c>
    </row>
    <row r="26" spans="1:12" x14ac:dyDescent="0.2">
      <c r="A26" s="59">
        <v>684</v>
      </c>
      <c r="B26" s="20" t="s">
        <v>4</v>
      </c>
      <c r="C26" s="5" t="s">
        <v>154</v>
      </c>
      <c r="D26" s="6">
        <v>96</v>
      </c>
      <c r="E26" s="61">
        <v>720</v>
      </c>
      <c r="F26" s="62">
        <v>44</v>
      </c>
      <c r="G26" s="62">
        <v>48</v>
      </c>
      <c r="H26" s="62">
        <v>32</v>
      </c>
      <c r="I26" s="62">
        <v>8</v>
      </c>
      <c r="J26" s="62">
        <v>8</v>
      </c>
      <c r="K26" s="63" t="s">
        <v>155</v>
      </c>
      <c r="L26" s="63" t="s">
        <v>59</v>
      </c>
    </row>
    <row r="27" spans="1:12" x14ac:dyDescent="0.2">
      <c r="A27" s="59">
        <v>58.2</v>
      </c>
      <c r="B27" s="20" t="s">
        <v>5</v>
      </c>
      <c r="C27" s="5" t="s">
        <v>110</v>
      </c>
      <c r="D27" s="6">
        <v>32</v>
      </c>
      <c r="E27" s="61">
        <v>112.594795539033</v>
      </c>
      <c r="F27" s="62">
        <v>1.4</v>
      </c>
      <c r="G27" s="62">
        <v>5</v>
      </c>
      <c r="H27" s="62">
        <v>20</v>
      </c>
      <c r="I27" s="62">
        <v>13.6</v>
      </c>
      <c r="J27" s="62">
        <v>0.2</v>
      </c>
      <c r="K27" s="63" t="s">
        <v>111</v>
      </c>
      <c r="L27" s="63" t="s">
        <v>109</v>
      </c>
    </row>
    <row r="28" spans="1:12" x14ac:dyDescent="0.2">
      <c r="A28" s="59">
        <v>0</v>
      </c>
      <c r="B28" s="20" t="s">
        <v>6</v>
      </c>
      <c r="C28" s="5" t="s">
        <v>107</v>
      </c>
      <c r="D28" s="6">
        <v>36</v>
      </c>
      <c r="E28" s="61">
        <v>0</v>
      </c>
      <c r="F28" s="62">
        <v>0</v>
      </c>
      <c r="G28" s="62">
        <v>0</v>
      </c>
      <c r="H28" s="62">
        <v>27</v>
      </c>
      <c r="I28" s="62">
        <v>27</v>
      </c>
      <c r="J28" s="62">
        <v>0</v>
      </c>
      <c r="K28" s="63" t="s">
        <v>108</v>
      </c>
      <c r="L28" s="63" t="s">
        <v>109</v>
      </c>
    </row>
    <row r="29" spans="1:12" x14ac:dyDescent="0.2">
      <c r="A29" s="59">
        <v>120</v>
      </c>
      <c r="B29" s="20" t="s">
        <v>7</v>
      </c>
      <c r="C29" s="5" t="s">
        <v>105</v>
      </c>
      <c r="D29" s="6">
        <v>30</v>
      </c>
      <c r="E29" s="61">
        <v>120</v>
      </c>
      <c r="F29" s="62">
        <v>0</v>
      </c>
      <c r="G29" s="62">
        <v>30</v>
      </c>
      <c r="H29" s="62">
        <v>0</v>
      </c>
      <c r="I29" s="62">
        <v>0</v>
      </c>
      <c r="J29" s="62">
        <v>0</v>
      </c>
      <c r="K29" s="63" t="s">
        <v>106</v>
      </c>
      <c r="L29" s="63" t="s">
        <v>99</v>
      </c>
    </row>
    <row r="30" spans="1:12" x14ac:dyDescent="0.2">
      <c r="A30" s="59">
        <v>142.82</v>
      </c>
      <c r="B30" s="20" t="s">
        <v>8</v>
      </c>
      <c r="C30" s="5" t="s">
        <v>100</v>
      </c>
      <c r="D30" s="6">
        <v>100</v>
      </c>
      <c r="E30" s="61">
        <v>148</v>
      </c>
      <c r="F30" s="62">
        <v>9.94</v>
      </c>
      <c r="G30" s="62">
        <v>12.54</v>
      </c>
      <c r="H30" s="62">
        <v>0.8</v>
      </c>
      <c r="I30" s="62">
        <v>0</v>
      </c>
      <c r="J30" s="62">
        <v>0</v>
      </c>
      <c r="K30" s="63" t="s">
        <v>101</v>
      </c>
      <c r="L30" s="63" t="s">
        <v>59</v>
      </c>
    </row>
    <row r="31" spans="1:12" x14ac:dyDescent="0.2">
      <c r="A31" s="59">
        <v>112.58</v>
      </c>
      <c r="B31" s="20" t="s">
        <v>9</v>
      </c>
      <c r="C31" s="5" t="s">
        <v>95</v>
      </c>
      <c r="D31" s="6">
        <v>40</v>
      </c>
      <c r="E31" s="61">
        <v>111</v>
      </c>
      <c r="F31" s="62">
        <v>0.06</v>
      </c>
      <c r="G31" s="62">
        <v>0.72</v>
      </c>
      <c r="H31" s="62">
        <v>29.99</v>
      </c>
      <c r="I31" s="62">
        <v>2.7</v>
      </c>
      <c r="J31" s="62">
        <v>26.59</v>
      </c>
      <c r="K31" s="63" t="s">
        <v>96</v>
      </c>
      <c r="L31" s="63" t="s">
        <v>48</v>
      </c>
    </row>
    <row r="32" spans="1:12" x14ac:dyDescent="0.2">
      <c r="A32" s="59">
        <v>44</v>
      </c>
      <c r="B32" s="20" t="s">
        <v>10</v>
      </c>
      <c r="C32" s="5" t="s">
        <v>168</v>
      </c>
      <c r="D32" s="6">
        <v>8</v>
      </c>
      <c r="E32" s="61">
        <v>42.6666666666667</v>
      </c>
      <c r="F32" s="62">
        <v>2.4</v>
      </c>
      <c r="G32" s="62">
        <v>1.6</v>
      </c>
      <c r="H32" s="62">
        <v>4.2666666666666702</v>
      </c>
      <c r="I32" s="62">
        <v>0.266666666666667</v>
      </c>
      <c r="J32" s="62">
        <v>3.2</v>
      </c>
      <c r="K32" s="63" t="s">
        <v>169</v>
      </c>
      <c r="L32" s="63" t="s">
        <v>62</v>
      </c>
    </row>
    <row r="33" spans="1:12" ht="20.25" x14ac:dyDescent="0.3">
      <c r="A33" s="73"/>
      <c r="B33" s="74"/>
      <c r="C33" s="75" t="s">
        <v>17</v>
      </c>
      <c r="D33" s="75"/>
      <c r="E33" s="76">
        <v>1542.2614622056999</v>
      </c>
      <c r="F33" s="76">
        <v>82.2</v>
      </c>
      <c r="G33" s="76">
        <v>108.26</v>
      </c>
      <c r="H33" s="76">
        <v>123.65666666666699</v>
      </c>
      <c r="I33" s="76">
        <v>56.766666666666701</v>
      </c>
      <c r="J33" s="76">
        <v>39.99</v>
      </c>
      <c r="K33" s="77"/>
      <c r="L33" s="78"/>
    </row>
    <row r="34" spans="1:12" ht="18" x14ac:dyDescent="0.25">
      <c r="A34" s="73"/>
      <c r="B34" s="74"/>
      <c r="C34" s="79" t="s">
        <v>18</v>
      </c>
      <c r="D34" s="79"/>
      <c r="E34" s="16">
        <v>8</v>
      </c>
      <c r="F34" s="78"/>
      <c r="G34" s="78"/>
      <c r="H34" s="78"/>
      <c r="I34" s="78"/>
      <c r="J34" s="78"/>
      <c r="K34" s="77"/>
      <c r="L34" s="78"/>
    </row>
    <row r="35" spans="1:12" ht="18" x14ac:dyDescent="0.25">
      <c r="A35" s="73"/>
      <c r="B35" s="74"/>
      <c r="C35" s="79" t="s">
        <v>20</v>
      </c>
      <c r="D35" s="79"/>
      <c r="E35" s="80">
        <v>192.782682775713</v>
      </c>
      <c r="F35" s="80">
        <v>10.275</v>
      </c>
      <c r="G35" s="80">
        <v>13.532500000000001</v>
      </c>
      <c r="H35" s="80">
        <v>15.4570833333333</v>
      </c>
      <c r="I35" s="80">
        <v>7.0958333333333297</v>
      </c>
      <c r="J35" s="80">
        <v>4.9987500000000002</v>
      </c>
      <c r="K35" s="77"/>
      <c r="L35" s="78"/>
    </row>
    <row r="36" spans="1:12" x14ac:dyDescent="0.2">
      <c r="A36" s="73"/>
      <c r="B36" s="74"/>
      <c r="C36" s="78"/>
      <c r="D36" s="78"/>
      <c r="E36" s="81" t="s">
        <v>27</v>
      </c>
      <c r="F36" s="81" t="s">
        <v>28</v>
      </c>
      <c r="G36" s="81" t="s">
        <v>29</v>
      </c>
      <c r="H36" s="81" t="s">
        <v>30</v>
      </c>
      <c r="I36" s="81" t="s">
        <v>31</v>
      </c>
      <c r="J36" s="81" t="s">
        <v>32</v>
      </c>
      <c r="K36" s="77"/>
      <c r="L36" s="78"/>
    </row>
  </sheetData>
  <conditionalFormatting sqref="A3:A17 E3:J17 A24:A32 E24:J32">
    <cfRule type="cellIs" dxfId="5" priority="2" operator="equal">
      <formula>0</formula>
    </cfRule>
  </conditionalFormatting>
  <dataValidations count="1">
    <dataValidation operator="equal" allowBlank="1" showErrorMessage="1" sqref="A1:L21 A23:L36" xr:uid="{00000000-0002-0000-0100-000000000000}">
      <formula1>0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scale="52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8080"/>
  </sheetPr>
  <dimension ref="A1:L18"/>
  <sheetViews>
    <sheetView showGridLines="0" zoomScale="85" zoomScaleNormal="85" workbookViewId="0">
      <selection activeCell="F21" sqref="F21"/>
    </sheetView>
  </sheetViews>
  <sheetFormatPr defaultColWidth="11.5703125" defaultRowHeight="12.75" x14ac:dyDescent="0.2"/>
  <cols>
    <col min="1" max="1" width="10.5703125" customWidth="1"/>
    <col min="2" max="2" width="10" customWidth="1"/>
    <col min="3" max="3" width="27.28515625" customWidth="1"/>
    <col min="5" max="5" width="8.7109375" customWidth="1"/>
    <col min="6" max="6" width="6" customWidth="1"/>
    <col min="7" max="7" width="9.42578125" customWidth="1"/>
    <col min="8" max="8" width="8.28515625" customWidth="1"/>
    <col min="9" max="9" width="7.5703125" customWidth="1"/>
    <col min="10" max="10" width="8.28515625" customWidth="1"/>
    <col min="11" max="11" width="17.7109375" customWidth="1"/>
  </cols>
  <sheetData>
    <row r="1" spans="1:12" x14ac:dyDescent="0.2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2" x14ac:dyDescent="0.2">
      <c r="A2" s="83" t="s">
        <v>23</v>
      </c>
      <c r="B2" s="83" t="s">
        <v>1</v>
      </c>
      <c r="C2" s="83" t="s">
        <v>25</v>
      </c>
      <c r="D2" s="83" t="s">
        <v>26</v>
      </c>
      <c r="E2" s="83" t="s">
        <v>27</v>
      </c>
      <c r="F2" s="83" t="s">
        <v>28</v>
      </c>
      <c r="G2" s="83" t="s">
        <v>29</v>
      </c>
      <c r="H2" s="83" t="s">
        <v>30</v>
      </c>
      <c r="I2" s="83" t="s">
        <v>31</v>
      </c>
      <c r="J2" s="83" t="s">
        <v>32</v>
      </c>
      <c r="K2" s="83" t="s">
        <v>33</v>
      </c>
      <c r="L2" s="83" t="s">
        <v>34</v>
      </c>
    </row>
    <row r="3" spans="1:12" x14ac:dyDescent="0.2">
      <c r="A3" s="59">
        <v>200</v>
      </c>
      <c r="B3" s="20" t="s">
        <v>2</v>
      </c>
      <c r="C3" s="6" t="s">
        <v>105</v>
      </c>
      <c r="D3" s="6">
        <v>37.6</v>
      </c>
      <c r="E3" s="61">
        <v>200</v>
      </c>
      <c r="F3" s="62">
        <v>0</v>
      </c>
      <c r="G3" s="62">
        <v>50</v>
      </c>
      <c r="H3" s="62">
        <v>0</v>
      </c>
      <c r="I3" s="62">
        <v>0</v>
      </c>
      <c r="J3" s="62">
        <v>0</v>
      </c>
      <c r="K3" s="63" t="s">
        <v>106</v>
      </c>
      <c r="L3" s="63" t="s">
        <v>99</v>
      </c>
    </row>
    <row r="4" spans="1:12" x14ac:dyDescent="0.2">
      <c r="A4" s="59">
        <v>0</v>
      </c>
      <c r="B4" s="20" t="s">
        <v>3</v>
      </c>
      <c r="C4" s="6" t="s">
        <v>149</v>
      </c>
      <c r="D4" s="6">
        <v>32</v>
      </c>
      <c r="E4" s="61">
        <v>4</v>
      </c>
      <c r="F4" s="62">
        <v>0</v>
      </c>
      <c r="G4" s="62">
        <v>0</v>
      </c>
      <c r="H4" s="62">
        <v>0</v>
      </c>
      <c r="I4" s="62">
        <v>0</v>
      </c>
      <c r="J4" s="62">
        <v>0</v>
      </c>
      <c r="K4" s="63" t="s">
        <v>137</v>
      </c>
      <c r="L4" s="63" t="s">
        <v>104</v>
      </c>
    </row>
    <row r="5" spans="1:12" x14ac:dyDescent="0.2">
      <c r="A5" s="59">
        <v>2</v>
      </c>
      <c r="B5" s="20" t="s">
        <v>4</v>
      </c>
      <c r="C5" s="6" t="s">
        <v>180</v>
      </c>
      <c r="D5" s="6">
        <v>4.2</v>
      </c>
      <c r="E5" s="61">
        <v>2</v>
      </c>
      <c r="F5" s="62">
        <v>0</v>
      </c>
      <c r="G5" s="62">
        <v>0</v>
      </c>
      <c r="H5" s="62">
        <v>0.5</v>
      </c>
      <c r="I5" s="62">
        <v>0</v>
      </c>
      <c r="J5" s="62">
        <v>0.5</v>
      </c>
      <c r="K5" s="63" t="s">
        <v>181</v>
      </c>
      <c r="L5" s="63" t="s">
        <v>82</v>
      </c>
    </row>
    <row r="6" spans="1:12" x14ac:dyDescent="0.2">
      <c r="A6" s="59">
        <v>30.64</v>
      </c>
      <c r="B6" s="20" t="s">
        <v>5</v>
      </c>
      <c r="C6" s="6" t="s">
        <v>210</v>
      </c>
      <c r="D6" s="6">
        <v>206</v>
      </c>
      <c r="E6" s="61">
        <v>34</v>
      </c>
      <c r="F6" s="62">
        <v>2.8</v>
      </c>
      <c r="G6" s="62">
        <v>1.1200000000000001</v>
      </c>
      <c r="H6" s="62">
        <v>0.64</v>
      </c>
      <c r="I6" s="62">
        <v>0.4</v>
      </c>
      <c r="J6" s="62">
        <v>0.24</v>
      </c>
      <c r="K6" s="63" t="s">
        <v>144</v>
      </c>
      <c r="L6" s="63" t="s">
        <v>145</v>
      </c>
    </row>
    <row r="7" spans="1:12" x14ac:dyDescent="0.2">
      <c r="A7" s="59">
        <v>0</v>
      </c>
      <c r="B7" s="20" t="s">
        <v>6</v>
      </c>
      <c r="C7" s="6" t="s">
        <v>211</v>
      </c>
      <c r="D7" s="6">
        <v>1</v>
      </c>
      <c r="E7" s="61">
        <v>0</v>
      </c>
      <c r="F7" s="62">
        <v>0</v>
      </c>
      <c r="G7" s="62">
        <v>0</v>
      </c>
      <c r="H7" s="62">
        <v>0</v>
      </c>
      <c r="I7" s="62">
        <v>0</v>
      </c>
      <c r="J7" s="62">
        <v>0</v>
      </c>
      <c r="K7" s="63"/>
      <c r="L7" s="63" t="s">
        <v>82</v>
      </c>
    </row>
    <row r="8" spans="1:12" x14ac:dyDescent="0.2">
      <c r="A8" s="59">
        <v>21</v>
      </c>
      <c r="B8" s="20" t="s">
        <v>7</v>
      </c>
      <c r="C8" s="6" t="s">
        <v>212</v>
      </c>
      <c r="D8" s="6">
        <v>8</v>
      </c>
      <c r="E8" s="61">
        <v>33</v>
      </c>
      <c r="F8" s="62">
        <v>1</v>
      </c>
      <c r="G8" s="62">
        <v>2</v>
      </c>
      <c r="H8" s="62">
        <v>4</v>
      </c>
      <c r="I8" s="62">
        <v>3</v>
      </c>
      <c r="J8" s="62">
        <v>0</v>
      </c>
      <c r="K8" s="63" t="s">
        <v>84</v>
      </c>
      <c r="L8" s="63" t="s">
        <v>82</v>
      </c>
    </row>
    <row r="9" spans="1:12" ht="20.25" x14ac:dyDescent="0.3">
      <c r="A9" s="83"/>
      <c r="B9" s="84"/>
      <c r="C9" s="85" t="s">
        <v>17</v>
      </c>
      <c r="D9" s="85"/>
      <c r="E9" s="86">
        <v>273</v>
      </c>
      <c r="F9" s="86">
        <v>3.8</v>
      </c>
      <c r="G9" s="86">
        <v>53.12</v>
      </c>
      <c r="H9" s="86">
        <v>5.14</v>
      </c>
      <c r="I9" s="86">
        <v>3.4</v>
      </c>
      <c r="J9" s="86">
        <v>0.74</v>
      </c>
      <c r="K9" s="87"/>
      <c r="L9" s="88"/>
    </row>
    <row r="10" spans="1:12" ht="18" x14ac:dyDescent="0.25">
      <c r="A10" s="83"/>
      <c r="B10" s="84"/>
      <c r="C10" s="89" t="s">
        <v>18</v>
      </c>
      <c r="D10" s="89"/>
      <c r="E10" s="16">
        <v>4</v>
      </c>
      <c r="F10" s="88"/>
      <c r="G10" s="88"/>
      <c r="H10" s="88"/>
      <c r="I10" s="88"/>
      <c r="J10" s="88"/>
      <c r="K10" s="87"/>
      <c r="L10" s="88"/>
    </row>
    <row r="11" spans="1:12" ht="18" x14ac:dyDescent="0.25">
      <c r="A11" s="83"/>
      <c r="B11" s="84"/>
      <c r="C11" s="89" t="s">
        <v>20</v>
      </c>
      <c r="D11" s="89"/>
      <c r="E11" s="90">
        <v>68.25</v>
      </c>
      <c r="F11" s="90">
        <v>0.95</v>
      </c>
      <c r="G11" s="90">
        <v>13.28</v>
      </c>
      <c r="H11" s="90">
        <v>1.2849999999999999</v>
      </c>
      <c r="I11" s="90">
        <v>0.85</v>
      </c>
      <c r="J11" s="90">
        <v>0.185</v>
      </c>
      <c r="K11" s="87"/>
      <c r="L11" s="88"/>
    </row>
    <row r="12" spans="1:12" x14ac:dyDescent="0.2">
      <c r="A12" s="83"/>
      <c r="B12" s="84"/>
      <c r="C12" s="88"/>
      <c r="D12" s="88"/>
      <c r="E12" s="91" t="s">
        <v>27</v>
      </c>
      <c r="F12" s="91" t="s">
        <v>28</v>
      </c>
      <c r="G12" s="91" t="s">
        <v>29</v>
      </c>
      <c r="H12" s="91" t="s">
        <v>30</v>
      </c>
      <c r="I12" s="91" t="s">
        <v>31</v>
      </c>
      <c r="J12" s="91" t="s">
        <v>32</v>
      </c>
      <c r="K12" s="87"/>
      <c r="L12" s="88"/>
    </row>
    <row r="14" spans="1:12" x14ac:dyDescent="0.2">
      <c r="C14" t="s">
        <v>213</v>
      </c>
    </row>
    <row r="15" spans="1:12" x14ac:dyDescent="0.2">
      <c r="C15" t="s">
        <v>214</v>
      </c>
    </row>
    <row r="16" spans="1:12" x14ac:dyDescent="0.2">
      <c r="C16" t="s">
        <v>215</v>
      </c>
    </row>
    <row r="17" spans="3:3" x14ac:dyDescent="0.2">
      <c r="C17" t="s">
        <v>216</v>
      </c>
    </row>
    <row r="18" spans="3:3" x14ac:dyDescent="0.2">
      <c r="C18" t="s">
        <v>217</v>
      </c>
    </row>
  </sheetData>
  <conditionalFormatting sqref="A3:A8 E3:J8">
    <cfRule type="cellIs" dxfId="4" priority="2" operator="equal">
      <formula>0</formula>
    </cfRule>
  </conditionalFormatting>
  <dataValidations count="1">
    <dataValidation operator="equal" allowBlank="1" showErrorMessage="1" sqref="A2:L12" xr:uid="{00000000-0002-0000-0200-000000000000}">
      <formula1>0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scale="52"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6633"/>
  </sheetPr>
  <dimension ref="A1:L21"/>
  <sheetViews>
    <sheetView showGridLines="0" zoomScale="85" zoomScaleNormal="85" workbookViewId="0">
      <selection activeCell="C3" sqref="C3"/>
    </sheetView>
  </sheetViews>
  <sheetFormatPr defaultColWidth="11.5703125" defaultRowHeight="12.75" x14ac:dyDescent="0.2"/>
  <cols>
    <col min="3" max="3" width="27.42578125" customWidth="1"/>
    <col min="4" max="4" width="11" customWidth="1"/>
    <col min="5" max="5" width="8.7109375" customWidth="1"/>
    <col min="6" max="6" width="6" customWidth="1"/>
    <col min="7" max="7" width="9.42578125" customWidth="1"/>
    <col min="8" max="8" width="8.28515625" customWidth="1"/>
    <col min="9" max="9" width="7.5703125" customWidth="1"/>
    <col min="10" max="10" width="8.28515625" customWidth="1"/>
    <col min="11" max="11" width="15.7109375" customWidth="1"/>
  </cols>
  <sheetData>
    <row r="1" spans="1:12" ht="15" x14ac:dyDescent="0.25">
      <c r="A1" s="92" t="s">
        <v>0</v>
      </c>
      <c r="B1" s="92"/>
      <c r="C1" s="93" t="s">
        <v>218</v>
      </c>
      <c r="D1" s="94"/>
      <c r="E1" s="92"/>
      <c r="F1" s="94"/>
      <c r="G1" s="94"/>
      <c r="H1" s="94"/>
      <c r="I1" s="94"/>
      <c r="J1" s="94"/>
      <c r="K1" s="94"/>
      <c r="L1" s="94"/>
    </row>
    <row r="2" spans="1:12" x14ac:dyDescent="0.2">
      <c r="A2" s="94" t="s">
        <v>23</v>
      </c>
      <c r="B2" s="94" t="s">
        <v>1</v>
      </c>
      <c r="C2" s="94" t="s">
        <v>25</v>
      </c>
      <c r="D2" s="94" t="s">
        <v>26</v>
      </c>
      <c r="E2" s="94" t="s">
        <v>27</v>
      </c>
      <c r="F2" s="94" t="s">
        <v>28</v>
      </c>
      <c r="G2" s="94" t="s">
        <v>29</v>
      </c>
      <c r="H2" s="94" t="s">
        <v>30</v>
      </c>
      <c r="I2" s="94" t="s">
        <v>31</v>
      </c>
      <c r="J2" s="94" t="s">
        <v>32</v>
      </c>
      <c r="K2" s="94" t="s">
        <v>33</v>
      </c>
      <c r="L2" s="94" t="s">
        <v>34</v>
      </c>
    </row>
    <row r="3" spans="1:12" x14ac:dyDescent="0.2">
      <c r="A3" s="59">
        <v>278.8</v>
      </c>
      <c r="B3" s="20" t="s">
        <v>2</v>
      </c>
      <c r="C3" s="60" t="s">
        <v>203</v>
      </c>
      <c r="D3" s="60">
        <v>48</v>
      </c>
      <c r="E3" s="61">
        <v>280</v>
      </c>
      <c r="F3" s="62">
        <v>24.4</v>
      </c>
      <c r="G3" s="62">
        <v>10.4</v>
      </c>
      <c r="H3" s="62">
        <v>9.6</v>
      </c>
      <c r="I3" s="62">
        <v>5.2</v>
      </c>
      <c r="J3" s="62">
        <v>2</v>
      </c>
      <c r="K3" s="63" t="s">
        <v>115</v>
      </c>
      <c r="L3" s="63" t="s">
        <v>116</v>
      </c>
    </row>
    <row r="4" spans="1:12" x14ac:dyDescent="0.2">
      <c r="A4" s="59">
        <v>29.1</v>
      </c>
      <c r="B4" s="20" t="s">
        <v>3</v>
      </c>
      <c r="C4" s="60" t="s">
        <v>204</v>
      </c>
      <c r="D4" s="60">
        <v>16</v>
      </c>
      <c r="E4" s="61">
        <v>56.297397769516699</v>
      </c>
      <c r="F4" s="62">
        <v>0.7</v>
      </c>
      <c r="G4" s="62">
        <v>2.5</v>
      </c>
      <c r="H4" s="62">
        <v>10</v>
      </c>
      <c r="I4" s="62">
        <v>6.8</v>
      </c>
      <c r="J4" s="62">
        <v>0.1</v>
      </c>
      <c r="K4" s="63" t="s">
        <v>111</v>
      </c>
      <c r="L4" s="63" t="s">
        <v>109</v>
      </c>
    </row>
    <row r="5" spans="1:12" x14ac:dyDescent="0.2">
      <c r="A5" s="59">
        <v>0</v>
      </c>
      <c r="B5" s="20" t="s">
        <v>4</v>
      </c>
      <c r="C5" s="60" t="s">
        <v>205</v>
      </c>
      <c r="D5" s="60">
        <v>36</v>
      </c>
      <c r="E5" s="61">
        <v>0</v>
      </c>
      <c r="F5" s="62">
        <v>0</v>
      </c>
      <c r="G5" s="62">
        <v>0</v>
      </c>
      <c r="H5" s="62">
        <v>27</v>
      </c>
      <c r="I5" s="62">
        <v>27</v>
      </c>
      <c r="J5" s="62">
        <v>0</v>
      </c>
      <c r="K5" s="63" t="s">
        <v>108</v>
      </c>
      <c r="L5" s="63" t="s">
        <v>109</v>
      </c>
    </row>
    <row r="6" spans="1:12" x14ac:dyDescent="0.2">
      <c r="A6" s="59">
        <v>0</v>
      </c>
      <c r="B6" s="20" t="s">
        <v>5</v>
      </c>
      <c r="C6" s="60" t="s">
        <v>149</v>
      </c>
      <c r="D6" s="60">
        <v>48</v>
      </c>
      <c r="E6" s="61">
        <v>6</v>
      </c>
      <c r="F6" s="62">
        <v>0</v>
      </c>
      <c r="G6" s="62">
        <v>0</v>
      </c>
      <c r="H6" s="62">
        <v>0</v>
      </c>
      <c r="I6" s="62">
        <v>0</v>
      </c>
      <c r="J6" s="62">
        <v>0</v>
      </c>
      <c r="K6" s="63" t="s">
        <v>137</v>
      </c>
      <c r="L6" s="63" t="s">
        <v>104</v>
      </c>
    </row>
    <row r="7" spans="1:12" x14ac:dyDescent="0.2">
      <c r="A7" s="59">
        <v>25</v>
      </c>
      <c r="B7" s="20" t="s">
        <v>6</v>
      </c>
      <c r="C7" s="60" t="s">
        <v>206</v>
      </c>
      <c r="D7" s="60">
        <v>10</v>
      </c>
      <c r="E7" s="61">
        <v>20</v>
      </c>
      <c r="F7" s="62">
        <v>1</v>
      </c>
      <c r="G7" s="62">
        <v>2</v>
      </c>
      <c r="H7" s="62">
        <v>6</v>
      </c>
      <c r="I7" s="62">
        <v>4</v>
      </c>
      <c r="J7" s="62">
        <v>0</v>
      </c>
      <c r="K7" s="63" t="s">
        <v>86</v>
      </c>
      <c r="L7" s="63" t="s">
        <v>82</v>
      </c>
    </row>
    <row r="8" spans="1:12" x14ac:dyDescent="0.2">
      <c r="A8" s="59">
        <v>150.4</v>
      </c>
      <c r="B8" s="20" t="s">
        <v>7</v>
      </c>
      <c r="C8" s="60" t="s">
        <v>105</v>
      </c>
      <c r="D8" s="60">
        <v>37.6</v>
      </c>
      <c r="E8" s="61">
        <v>150.4</v>
      </c>
      <c r="F8" s="62">
        <v>0</v>
      </c>
      <c r="G8" s="62">
        <v>37.6</v>
      </c>
      <c r="H8" s="62">
        <v>0</v>
      </c>
      <c r="I8" s="62">
        <v>0</v>
      </c>
      <c r="J8" s="62">
        <v>0</v>
      </c>
      <c r="K8" s="63" t="s">
        <v>106</v>
      </c>
      <c r="L8" s="63" t="s">
        <v>99</v>
      </c>
    </row>
    <row r="9" spans="1:12" x14ac:dyDescent="0.2">
      <c r="A9" s="59" t="e">
        <f>#N/A</f>
        <v>#N/A</v>
      </c>
      <c r="B9" s="20" t="s">
        <v>8</v>
      </c>
      <c r="C9" s="60"/>
      <c r="D9" s="60"/>
      <c r="E9" s="61" t="e">
        <f>#N/A</f>
        <v>#N/A</v>
      </c>
      <c r="F9" s="62" t="e">
        <f>#N/A</f>
        <v>#N/A</v>
      </c>
      <c r="G9" s="62" t="e">
        <f>#N/A</f>
        <v>#N/A</v>
      </c>
      <c r="H9" s="62" t="e">
        <f>#N/A</f>
        <v>#N/A</v>
      </c>
      <c r="I9" s="62" t="e">
        <f>#N/A</f>
        <v>#N/A</v>
      </c>
      <c r="J9" s="62" t="e">
        <f>#N/A</f>
        <v>#N/A</v>
      </c>
      <c r="K9" s="63"/>
      <c r="L9" s="63"/>
    </row>
    <row r="10" spans="1:12" x14ac:dyDescent="0.2">
      <c r="A10" s="59">
        <v>71.346153846153896</v>
      </c>
      <c r="B10" s="20" t="s">
        <v>9</v>
      </c>
      <c r="C10" s="60" t="s">
        <v>207</v>
      </c>
      <c r="D10" s="60">
        <v>140</v>
      </c>
      <c r="E10" s="61">
        <v>71.794871794871796</v>
      </c>
      <c r="F10" s="62">
        <v>3.1410256410256401</v>
      </c>
      <c r="G10" s="62">
        <v>3.5897435897435899</v>
      </c>
      <c r="H10" s="62">
        <v>7.1794871794871797</v>
      </c>
      <c r="I10" s="62">
        <v>0</v>
      </c>
      <c r="J10" s="62">
        <v>0</v>
      </c>
      <c r="K10" s="63" t="s">
        <v>190</v>
      </c>
      <c r="L10" s="63" t="s">
        <v>188</v>
      </c>
    </row>
    <row r="11" spans="1:12" x14ac:dyDescent="0.2">
      <c r="A11" s="59">
        <v>2</v>
      </c>
      <c r="B11" s="20" t="s">
        <v>10</v>
      </c>
      <c r="C11" s="60" t="s">
        <v>180</v>
      </c>
      <c r="D11" s="60">
        <v>4.2</v>
      </c>
      <c r="E11" s="61">
        <v>2</v>
      </c>
      <c r="F11" s="62">
        <v>0</v>
      </c>
      <c r="G11" s="62">
        <v>0</v>
      </c>
      <c r="H11" s="62">
        <v>0.5</v>
      </c>
      <c r="I11" s="62">
        <v>0</v>
      </c>
      <c r="J11" s="62">
        <v>0.5</v>
      </c>
      <c r="K11" s="63" t="s">
        <v>181</v>
      </c>
      <c r="L11" s="63" t="s">
        <v>82</v>
      </c>
    </row>
    <row r="12" spans="1:12" x14ac:dyDescent="0.2">
      <c r="A12" s="59">
        <v>142.82</v>
      </c>
      <c r="B12" s="20" t="s">
        <v>11</v>
      </c>
      <c r="C12" s="60" t="s">
        <v>208</v>
      </c>
      <c r="D12" s="60">
        <v>100</v>
      </c>
      <c r="E12" s="61">
        <v>148</v>
      </c>
      <c r="F12" s="62">
        <v>9.94</v>
      </c>
      <c r="G12" s="62">
        <v>12.54</v>
      </c>
      <c r="H12" s="62">
        <v>0.8</v>
      </c>
      <c r="I12" s="62">
        <v>0</v>
      </c>
      <c r="J12" s="62">
        <v>0</v>
      </c>
      <c r="K12" s="63" t="s">
        <v>101</v>
      </c>
      <c r="L12" s="63" t="s">
        <v>59</v>
      </c>
    </row>
    <row r="13" spans="1:12" x14ac:dyDescent="0.2">
      <c r="A13" s="59">
        <v>342</v>
      </c>
      <c r="B13" s="20" t="s">
        <v>12</v>
      </c>
      <c r="C13" s="60" t="s">
        <v>209</v>
      </c>
      <c r="D13" s="60">
        <v>48</v>
      </c>
      <c r="E13" s="61">
        <v>360</v>
      </c>
      <c r="F13" s="62">
        <v>22</v>
      </c>
      <c r="G13" s="62">
        <v>24</v>
      </c>
      <c r="H13" s="62">
        <v>16</v>
      </c>
      <c r="I13" s="62">
        <v>4</v>
      </c>
      <c r="J13" s="62">
        <v>4</v>
      </c>
      <c r="K13" s="63" t="s">
        <v>155</v>
      </c>
      <c r="L13" s="63" t="s">
        <v>59</v>
      </c>
    </row>
    <row r="14" spans="1:12" x14ac:dyDescent="0.2">
      <c r="A14" s="59" t="e">
        <f>#N/A</f>
        <v>#N/A</v>
      </c>
      <c r="B14" s="20" t="s">
        <v>13</v>
      </c>
      <c r="C14" s="60"/>
      <c r="D14" s="60"/>
      <c r="E14" s="61" t="e">
        <f>#N/A</f>
        <v>#N/A</v>
      </c>
      <c r="F14" s="62" t="e">
        <f>#N/A</f>
        <v>#N/A</v>
      </c>
      <c r="G14" s="62" t="e">
        <f>#N/A</f>
        <v>#N/A</v>
      </c>
      <c r="H14" s="62" t="e">
        <f>#N/A</f>
        <v>#N/A</v>
      </c>
      <c r="I14" s="62" t="e">
        <f>#N/A</f>
        <v>#N/A</v>
      </c>
      <c r="J14" s="62" t="e">
        <f>#N/A</f>
        <v>#N/A</v>
      </c>
      <c r="K14" s="63"/>
      <c r="L14" s="63"/>
    </row>
    <row r="15" spans="1:12" x14ac:dyDescent="0.2">
      <c r="A15" s="59">
        <v>93.715999999999994</v>
      </c>
      <c r="B15" s="20" t="s">
        <v>14</v>
      </c>
      <c r="C15" s="60" t="s">
        <v>97</v>
      </c>
      <c r="D15" s="60">
        <v>28</v>
      </c>
      <c r="E15" s="61">
        <v>92.4</v>
      </c>
      <c r="F15" s="62">
        <v>8.4000000000000005E-2</v>
      </c>
      <c r="G15" s="62">
        <v>22.4</v>
      </c>
      <c r="H15" s="62">
        <v>0.84</v>
      </c>
      <c r="I15" s="62">
        <v>0</v>
      </c>
      <c r="J15" s="62">
        <v>0</v>
      </c>
      <c r="K15" s="63" t="s">
        <v>98</v>
      </c>
      <c r="L15" s="63" t="s">
        <v>99</v>
      </c>
    </row>
    <row r="16" spans="1:12" x14ac:dyDescent="0.2">
      <c r="A16" s="59">
        <v>48.24</v>
      </c>
      <c r="B16" s="20" t="s">
        <v>15</v>
      </c>
      <c r="C16" s="60" t="s">
        <v>172</v>
      </c>
      <c r="D16" s="60">
        <v>9</v>
      </c>
      <c r="E16" s="61">
        <v>51.3</v>
      </c>
      <c r="F16" s="62">
        <v>4.32</v>
      </c>
      <c r="G16" s="62">
        <v>1.53</v>
      </c>
      <c r="H16" s="62">
        <v>2.34</v>
      </c>
      <c r="I16" s="62">
        <v>1.53</v>
      </c>
      <c r="J16" s="62">
        <v>4.4999999999999998E-2</v>
      </c>
      <c r="K16" s="63" t="s">
        <v>173</v>
      </c>
      <c r="L16" s="63" t="s">
        <v>79</v>
      </c>
    </row>
    <row r="17" spans="1:12" x14ac:dyDescent="0.2">
      <c r="A17" s="59" t="e">
        <f>#N/A</f>
        <v>#N/A</v>
      </c>
      <c r="B17" s="20" t="s">
        <v>16</v>
      </c>
      <c r="C17" s="60"/>
      <c r="D17" s="60"/>
      <c r="E17" s="61" t="e">
        <f>#N/A</f>
        <v>#N/A</v>
      </c>
      <c r="F17" s="62" t="e">
        <f>#N/A</f>
        <v>#N/A</v>
      </c>
      <c r="G17" s="62" t="e">
        <f>#N/A</f>
        <v>#N/A</v>
      </c>
      <c r="H17" s="62" t="e">
        <f>#N/A</f>
        <v>#N/A</v>
      </c>
      <c r="I17" s="62" t="e">
        <f>#N/A</f>
        <v>#N/A</v>
      </c>
      <c r="J17" s="62" t="e">
        <f>#N/A</f>
        <v>#N/A</v>
      </c>
      <c r="K17" s="63"/>
      <c r="L17" s="63"/>
    </row>
    <row r="18" spans="1:12" ht="20.25" x14ac:dyDescent="0.3">
      <c r="A18" s="94"/>
      <c r="B18" s="95"/>
      <c r="C18" s="96" t="s">
        <v>17</v>
      </c>
      <c r="D18" s="96"/>
      <c r="E18" s="97">
        <v>1238.19226956439</v>
      </c>
      <c r="F18" s="97">
        <v>65.585025641025695</v>
      </c>
      <c r="G18" s="97">
        <v>116.559743589744</v>
      </c>
      <c r="H18" s="97">
        <v>80.259487179487195</v>
      </c>
      <c r="I18" s="97">
        <v>48.53</v>
      </c>
      <c r="J18" s="97">
        <v>6.6449999999999996</v>
      </c>
      <c r="K18" s="98"/>
      <c r="L18" s="99"/>
    </row>
    <row r="19" spans="1:12" ht="18" x14ac:dyDescent="0.25">
      <c r="A19" s="94"/>
      <c r="B19" s="95"/>
      <c r="C19" s="100" t="s">
        <v>18</v>
      </c>
      <c r="D19" s="100"/>
      <c r="E19" s="100">
        <v>8</v>
      </c>
      <c r="F19" s="101"/>
      <c r="G19" s="101"/>
      <c r="H19" s="101"/>
      <c r="I19" s="101"/>
      <c r="J19" s="101"/>
      <c r="K19" s="98"/>
      <c r="L19" s="99"/>
    </row>
    <row r="20" spans="1:12" ht="18" x14ac:dyDescent="0.25">
      <c r="A20" s="94"/>
      <c r="B20" s="95"/>
      <c r="C20" s="100" t="s">
        <v>20</v>
      </c>
      <c r="D20" s="100"/>
      <c r="E20" s="102">
        <v>176.88460993776999</v>
      </c>
      <c r="F20" s="102">
        <v>9.3692893772893804</v>
      </c>
      <c r="G20" s="102">
        <v>16.6513919413919</v>
      </c>
      <c r="H20" s="102">
        <v>11.465641025641</v>
      </c>
      <c r="I20" s="102">
        <v>6.9328571428571397</v>
      </c>
      <c r="J20" s="102">
        <v>0.94928571428571396</v>
      </c>
      <c r="K20" s="98"/>
      <c r="L20" s="99"/>
    </row>
    <row r="21" spans="1:12" x14ac:dyDescent="0.2">
      <c r="A21" s="94"/>
      <c r="B21" s="95"/>
      <c r="C21" s="101"/>
      <c r="D21" s="101"/>
      <c r="E21" s="103" t="s">
        <v>27</v>
      </c>
      <c r="F21" s="103" t="s">
        <v>28</v>
      </c>
      <c r="G21" s="103" t="s">
        <v>29</v>
      </c>
      <c r="H21" s="103" t="s">
        <v>30</v>
      </c>
      <c r="I21" s="103" t="s">
        <v>31</v>
      </c>
      <c r="J21" s="103" t="s">
        <v>32</v>
      </c>
      <c r="K21" s="98"/>
      <c r="L21" s="99"/>
    </row>
  </sheetData>
  <conditionalFormatting sqref="A3:A17 E3:J17">
    <cfRule type="cellIs" dxfId="3" priority="2" operator="equal">
      <formula>0</formula>
    </cfRule>
  </conditionalFormatting>
  <dataValidations count="1">
    <dataValidation operator="equal" allowBlank="1" showErrorMessage="1" sqref="A1:L21" xr:uid="{00000000-0002-0000-0300-000000000000}">
      <formula1>0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scale="52" orientation="portrait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7C4D-32BB-4686-A396-FC1AEF775444}">
  <dimension ref="A2:L11"/>
  <sheetViews>
    <sheetView tabSelected="1" workbookViewId="0">
      <selection activeCell="K6" sqref="K6"/>
    </sheetView>
  </sheetViews>
  <sheetFormatPr defaultRowHeight="12" x14ac:dyDescent="0.2"/>
  <cols>
    <col min="1" max="10" width="9.140625" style="124"/>
    <col min="11" max="11" width="15.7109375" style="124" customWidth="1"/>
    <col min="12" max="16384" width="9.140625" style="124"/>
  </cols>
  <sheetData>
    <row r="2" spans="1:12" x14ac:dyDescent="0.2">
      <c r="A2" s="123" t="s">
        <v>23</v>
      </c>
      <c r="B2" s="123" t="s">
        <v>1</v>
      </c>
      <c r="C2" s="123" t="s">
        <v>25</v>
      </c>
      <c r="D2" s="123" t="s">
        <v>26</v>
      </c>
      <c r="E2" s="123" t="s">
        <v>27</v>
      </c>
      <c r="F2" s="123" t="s">
        <v>28</v>
      </c>
      <c r="G2" s="123" t="s">
        <v>29</v>
      </c>
      <c r="H2" s="123" t="s">
        <v>30</v>
      </c>
      <c r="I2" s="123" t="s">
        <v>31</v>
      </c>
      <c r="J2" s="123" t="s">
        <v>32</v>
      </c>
      <c r="K2" s="123" t="s">
        <v>33</v>
      </c>
      <c r="L2" s="123" t="s">
        <v>34</v>
      </c>
    </row>
    <row r="3" spans="1:12" x14ac:dyDescent="0.2">
      <c r="A3" s="125">
        <v>557.6</v>
      </c>
      <c r="B3" s="123" t="s">
        <v>2</v>
      </c>
      <c r="C3" s="126" t="s">
        <v>114</v>
      </c>
      <c r="D3" s="127">
        <v>96</v>
      </c>
      <c r="E3" s="128">
        <v>560</v>
      </c>
      <c r="F3" s="129">
        <v>48.8</v>
      </c>
      <c r="G3" s="129">
        <v>20.8</v>
      </c>
      <c r="H3" s="129">
        <v>19.2</v>
      </c>
      <c r="I3" s="129">
        <v>10.4</v>
      </c>
      <c r="J3" s="129">
        <v>4</v>
      </c>
      <c r="K3" s="130" t="s">
        <v>115</v>
      </c>
      <c r="L3" s="130" t="s">
        <v>116</v>
      </c>
    </row>
    <row r="4" spans="1:12" x14ac:dyDescent="0.2">
      <c r="A4" s="125">
        <v>805.96</v>
      </c>
      <c r="B4" s="123" t="s">
        <v>3</v>
      </c>
      <c r="C4" s="126" t="s">
        <v>66</v>
      </c>
      <c r="D4" s="127">
        <v>200</v>
      </c>
      <c r="E4" s="128">
        <v>806</v>
      </c>
      <c r="F4" s="129">
        <v>66.28</v>
      </c>
      <c r="G4" s="129">
        <v>49.8</v>
      </c>
      <c r="H4" s="129">
        <v>2.56</v>
      </c>
      <c r="I4" s="129">
        <v>0</v>
      </c>
      <c r="J4" s="129">
        <v>1.04</v>
      </c>
      <c r="K4" s="130" t="s">
        <v>67</v>
      </c>
      <c r="L4" s="130" t="s">
        <v>68</v>
      </c>
    </row>
    <row r="5" spans="1:12" x14ac:dyDescent="0.2">
      <c r="A5" s="125">
        <v>0</v>
      </c>
      <c r="B5" s="123" t="s">
        <v>4</v>
      </c>
      <c r="C5" s="126" t="s">
        <v>107</v>
      </c>
      <c r="D5" s="127">
        <v>36</v>
      </c>
      <c r="E5" s="128">
        <v>0</v>
      </c>
      <c r="F5" s="129">
        <v>0</v>
      </c>
      <c r="G5" s="129">
        <v>0</v>
      </c>
      <c r="H5" s="129">
        <v>27</v>
      </c>
      <c r="I5" s="129">
        <v>27</v>
      </c>
      <c r="J5" s="129">
        <v>0</v>
      </c>
      <c r="K5" s="130" t="s">
        <v>108</v>
      </c>
      <c r="L5" s="130" t="s">
        <v>109</v>
      </c>
    </row>
    <row r="6" spans="1:12" x14ac:dyDescent="0.2">
      <c r="A6" s="125">
        <v>142.82</v>
      </c>
      <c r="B6" s="123" t="s">
        <v>5</v>
      </c>
      <c r="C6" s="126" t="s">
        <v>100</v>
      </c>
      <c r="D6" s="127">
        <v>100</v>
      </c>
      <c r="E6" s="128">
        <v>148</v>
      </c>
      <c r="F6" s="129">
        <v>9.94</v>
      </c>
      <c r="G6" s="129">
        <v>12.54</v>
      </c>
      <c r="H6" s="129">
        <v>0.8</v>
      </c>
      <c r="I6" s="129">
        <v>0</v>
      </c>
      <c r="J6" s="129">
        <v>0</v>
      </c>
      <c r="K6" s="130" t="s">
        <v>101</v>
      </c>
      <c r="L6" s="130" t="s">
        <v>59</v>
      </c>
    </row>
    <row r="7" spans="1:12" x14ac:dyDescent="0.2">
      <c r="A7" s="125">
        <v>168.125</v>
      </c>
      <c r="B7" s="123" t="s">
        <v>6</v>
      </c>
      <c r="C7" s="126" t="s">
        <v>91</v>
      </c>
      <c r="D7" s="127">
        <v>61</v>
      </c>
      <c r="E7" s="128">
        <v>168.75</v>
      </c>
      <c r="F7" s="129">
        <v>16.875</v>
      </c>
      <c r="G7" s="129">
        <v>1.5625</v>
      </c>
      <c r="H7" s="129">
        <v>2.5</v>
      </c>
      <c r="I7" s="129">
        <v>0</v>
      </c>
      <c r="J7" s="129">
        <v>2.5</v>
      </c>
      <c r="K7" s="130" t="s">
        <v>92</v>
      </c>
      <c r="L7" s="130" t="s">
        <v>59</v>
      </c>
    </row>
    <row r="8" spans="1:12" ht="13.5" x14ac:dyDescent="0.25">
      <c r="A8" s="123"/>
      <c r="B8" s="131"/>
      <c r="C8" s="132" t="s">
        <v>17</v>
      </c>
      <c r="D8" s="132"/>
      <c r="E8" s="133">
        <f>SUM(E3:E7)</f>
        <v>1682.75</v>
      </c>
      <c r="F8" s="133">
        <v>141.89499999999998</v>
      </c>
      <c r="G8" s="133">
        <v>84.702499999999986</v>
      </c>
      <c r="H8" s="133">
        <v>52.059999999999995</v>
      </c>
      <c r="I8" s="133">
        <v>37.4</v>
      </c>
      <c r="J8" s="133">
        <v>7.54</v>
      </c>
      <c r="K8" s="134"/>
      <c r="L8" s="135"/>
    </row>
    <row r="9" spans="1:12" ht="13.5" x14ac:dyDescent="0.25">
      <c r="A9" s="123"/>
      <c r="B9" s="131"/>
      <c r="C9" s="132" t="s">
        <v>18</v>
      </c>
      <c r="D9" s="132"/>
      <c r="E9" s="136">
        <v>10</v>
      </c>
      <c r="F9" s="137" t="s">
        <v>19</v>
      </c>
      <c r="G9" s="135"/>
      <c r="H9" s="135"/>
      <c r="I9" s="135"/>
      <c r="J9" s="135"/>
      <c r="K9" s="134"/>
      <c r="L9" s="135"/>
    </row>
    <row r="10" spans="1:12" ht="13.5" x14ac:dyDescent="0.25">
      <c r="A10" s="123"/>
      <c r="B10" s="131"/>
      <c r="C10" s="132" t="s">
        <v>20</v>
      </c>
      <c r="D10" s="132"/>
      <c r="E10" s="133">
        <f>E8/$E$9</f>
        <v>168.27500000000001</v>
      </c>
      <c r="F10" s="133">
        <f t="shared" ref="F10:J10" si="0">F8/$E$9</f>
        <v>14.189499999999999</v>
      </c>
      <c r="G10" s="133">
        <f t="shared" si="0"/>
        <v>8.4702499999999983</v>
      </c>
      <c r="H10" s="133">
        <f t="shared" si="0"/>
        <v>5.2059999999999995</v>
      </c>
      <c r="I10" s="133">
        <f t="shared" si="0"/>
        <v>3.7399999999999998</v>
      </c>
      <c r="J10" s="133">
        <f t="shared" si="0"/>
        <v>0.754</v>
      </c>
      <c r="K10" s="134"/>
      <c r="L10" s="135"/>
    </row>
    <row r="11" spans="1:12" x14ac:dyDescent="0.2">
      <c r="A11" s="123"/>
      <c r="B11" s="131"/>
      <c r="C11" s="135"/>
      <c r="D11" s="135"/>
      <c r="E11" s="138" t="s">
        <v>27</v>
      </c>
      <c r="F11" s="138" t="s">
        <v>28</v>
      </c>
      <c r="G11" s="138" t="s">
        <v>29</v>
      </c>
      <c r="H11" s="138" t="s">
        <v>30</v>
      </c>
      <c r="I11" s="138" t="s">
        <v>31</v>
      </c>
      <c r="J11" s="138" t="s">
        <v>32</v>
      </c>
      <c r="K11" s="134"/>
      <c r="L11" s="135"/>
    </row>
  </sheetData>
  <conditionalFormatting sqref="A3:A7 E3:J7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DCFF"/>
  </sheetPr>
  <dimension ref="B1:K17"/>
  <sheetViews>
    <sheetView zoomScale="85" zoomScaleNormal="85" workbookViewId="0">
      <selection activeCell="D4" sqref="D4"/>
    </sheetView>
  </sheetViews>
  <sheetFormatPr defaultColWidth="11.5703125" defaultRowHeight="12.75" x14ac:dyDescent="0.2"/>
  <cols>
    <col min="2" max="2" width="12.85546875" style="104" customWidth="1"/>
    <col min="3" max="3" width="35.5703125" customWidth="1"/>
    <col min="5" max="5" width="8.7109375" customWidth="1"/>
    <col min="6" max="6" width="6" customWidth="1"/>
    <col min="7" max="7" width="9.42578125" customWidth="1"/>
    <col min="8" max="8" width="8.28515625" customWidth="1"/>
    <col min="9" max="9" width="7.5703125" customWidth="1"/>
    <col min="10" max="10" width="8.28515625" customWidth="1"/>
    <col min="11" max="11" width="20.85546875" customWidth="1"/>
  </cols>
  <sheetData>
    <row r="1" spans="2:11" x14ac:dyDescent="0.2">
      <c r="B1" s="105">
        <v>45091</v>
      </c>
    </row>
    <row r="2" spans="2:11" x14ac:dyDescent="0.2">
      <c r="C2" s="106" t="s">
        <v>25</v>
      </c>
      <c r="D2" s="106" t="s">
        <v>26</v>
      </c>
      <c r="E2" s="106" t="s">
        <v>27</v>
      </c>
      <c r="F2" s="106" t="s">
        <v>28</v>
      </c>
      <c r="G2" s="106" t="s">
        <v>29</v>
      </c>
      <c r="H2" s="106" t="s">
        <v>30</v>
      </c>
      <c r="I2" s="106" t="s">
        <v>31</v>
      </c>
      <c r="J2" s="106" t="s">
        <v>32</v>
      </c>
      <c r="K2" s="106" t="s">
        <v>33</v>
      </c>
    </row>
    <row r="3" spans="2:11" x14ac:dyDescent="0.2">
      <c r="C3" s="5" t="s">
        <v>114</v>
      </c>
      <c r="D3" s="6">
        <v>72</v>
      </c>
      <c r="E3" s="61">
        <v>420</v>
      </c>
      <c r="F3" s="62">
        <v>36.6</v>
      </c>
      <c r="G3" s="62">
        <v>15.6</v>
      </c>
      <c r="H3" s="62">
        <v>14.4</v>
      </c>
      <c r="I3" s="62">
        <v>7.8</v>
      </c>
      <c r="J3" s="62">
        <v>3</v>
      </c>
      <c r="K3" s="63" t="s">
        <v>115</v>
      </c>
    </row>
    <row r="4" spans="2:11" x14ac:dyDescent="0.2">
      <c r="C4" s="5" t="s">
        <v>150</v>
      </c>
      <c r="D4" s="6">
        <v>219</v>
      </c>
      <c r="E4" s="61">
        <v>88</v>
      </c>
      <c r="F4" s="62">
        <v>1.9</v>
      </c>
      <c r="G4" s="62">
        <v>7</v>
      </c>
      <c r="H4" s="62">
        <v>25</v>
      </c>
      <c r="I4" s="62">
        <v>5.7</v>
      </c>
      <c r="J4" s="62">
        <v>0</v>
      </c>
      <c r="K4" s="63" t="s">
        <v>151</v>
      </c>
    </row>
    <row r="5" spans="2:11" x14ac:dyDescent="0.2">
      <c r="C5" s="5" t="s">
        <v>107</v>
      </c>
      <c r="D5" s="6">
        <v>36</v>
      </c>
      <c r="E5" s="61">
        <v>0</v>
      </c>
      <c r="F5" s="62">
        <v>0</v>
      </c>
      <c r="G5" s="62">
        <v>0</v>
      </c>
      <c r="H5" s="62">
        <v>27</v>
      </c>
      <c r="I5" s="62">
        <v>27</v>
      </c>
      <c r="J5" s="62">
        <v>0</v>
      </c>
      <c r="K5" s="63" t="s">
        <v>108</v>
      </c>
    </row>
    <row r="6" spans="2:11" x14ac:dyDescent="0.2">
      <c r="C6" s="5" t="s">
        <v>110</v>
      </c>
      <c r="D6" s="6">
        <v>32</v>
      </c>
      <c r="E6" s="61">
        <v>112.594795539033</v>
      </c>
      <c r="F6" s="62">
        <v>1.4</v>
      </c>
      <c r="G6" s="62">
        <v>5</v>
      </c>
      <c r="H6" s="62">
        <v>20</v>
      </c>
      <c r="I6" s="62">
        <v>13.6</v>
      </c>
      <c r="J6" s="62">
        <v>0.2</v>
      </c>
      <c r="K6" s="63" t="s">
        <v>111</v>
      </c>
    </row>
    <row r="7" spans="2:11" x14ac:dyDescent="0.2">
      <c r="C7" s="5" t="s">
        <v>149</v>
      </c>
      <c r="D7" s="6">
        <v>80</v>
      </c>
      <c r="E7" s="61">
        <v>10</v>
      </c>
      <c r="F7" s="62">
        <v>0</v>
      </c>
      <c r="G7" s="62">
        <v>0</v>
      </c>
      <c r="H7" s="62">
        <v>0</v>
      </c>
      <c r="I7" s="62">
        <v>0</v>
      </c>
      <c r="J7" s="62">
        <v>0</v>
      </c>
      <c r="K7" s="63" t="s">
        <v>137</v>
      </c>
    </row>
    <row r="8" spans="2:11" x14ac:dyDescent="0.2">
      <c r="C8" s="5" t="s">
        <v>83</v>
      </c>
      <c r="D8" s="6">
        <v>16</v>
      </c>
      <c r="E8" s="61">
        <v>66</v>
      </c>
      <c r="F8" s="62">
        <v>2</v>
      </c>
      <c r="G8" s="62">
        <v>4</v>
      </c>
      <c r="H8" s="62">
        <v>8</v>
      </c>
      <c r="I8" s="62">
        <v>6</v>
      </c>
      <c r="J8" s="62">
        <v>0</v>
      </c>
      <c r="K8" s="63" t="s">
        <v>84</v>
      </c>
    </row>
    <row r="9" spans="2:11" x14ac:dyDescent="0.2">
      <c r="C9" s="5" t="s">
        <v>170</v>
      </c>
      <c r="D9" s="6">
        <v>0.57499999999999996</v>
      </c>
      <c r="E9" s="61">
        <v>0</v>
      </c>
      <c r="F9" s="62">
        <v>0</v>
      </c>
      <c r="G9" s="62">
        <v>0</v>
      </c>
      <c r="H9" s="62">
        <v>0</v>
      </c>
      <c r="I9" s="62">
        <v>0</v>
      </c>
      <c r="J9" s="62">
        <v>0</v>
      </c>
      <c r="K9" s="63" t="s">
        <v>171</v>
      </c>
    </row>
    <row r="10" spans="2:11" x14ac:dyDescent="0.2">
      <c r="C10" s="5" t="s">
        <v>124</v>
      </c>
      <c r="D10" s="6">
        <v>60</v>
      </c>
      <c r="E10" s="61">
        <v>280</v>
      </c>
      <c r="F10" s="62">
        <v>18</v>
      </c>
      <c r="G10" s="62">
        <v>4</v>
      </c>
      <c r="H10" s="62">
        <v>40</v>
      </c>
      <c r="I10" s="62">
        <v>4</v>
      </c>
      <c r="J10" s="62">
        <v>32</v>
      </c>
      <c r="K10" s="63" t="s">
        <v>125</v>
      </c>
    </row>
    <row r="11" spans="2:11" x14ac:dyDescent="0.2">
      <c r="C11" s="5" t="s">
        <v>100</v>
      </c>
      <c r="D11" s="6">
        <v>150</v>
      </c>
      <c r="E11" s="61">
        <v>222</v>
      </c>
      <c r="F11" s="62">
        <v>14.91</v>
      </c>
      <c r="G11" s="62">
        <v>18.809999999999999</v>
      </c>
      <c r="H11" s="62">
        <v>1.2</v>
      </c>
      <c r="I11" s="62">
        <v>0</v>
      </c>
      <c r="J11" s="62">
        <v>0</v>
      </c>
      <c r="K11" s="63" t="s">
        <v>101</v>
      </c>
    </row>
    <row r="12" spans="2:11" x14ac:dyDescent="0.2">
      <c r="C12" s="5" t="s">
        <v>180</v>
      </c>
      <c r="D12" s="6">
        <v>8.4</v>
      </c>
      <c r="E12" s="61">
        <v>4</v>
      </c>
      <c r="F12" s="62">
        <v>0</v>
      </c>
      <c r="G12" s="62">
        <v>0</v>
      </c>
      <c r="H12" s="62">
        <v>1</v>
      </c>
      <c r="I12" s="62">
        <v>0</v>
      </c>
      <c r="J12" s="62">
        <v>1</v>
      </c>
      <c r="K12" s="63" t="s">
        <v>181</v>
      </c>
    </row>
    <row r="13" spans="2:11" x14ac:dyDescent="0.2">
      <c r="C13" s="5" t="s">
        <v>143</v>
      </c>
      <c r="D13" s="6">
        <v>247</v>
      </c>
      <c r="E13" s="61">
        <v>40.766990291262097</v>
      </c>
      <c r="F13" s="62">
        <v>3.3572815533980598</v>
      </c>
      <c r="G13" s="62">
        <v>1.34291262135922</v>
      </c>
      <c r="H13" s="62">
        <v>0.76737864077669904</v>
      </c>
      <c r="I13" s="62">
        <v>0.47961165048543702</v>
      </c>
      <c r="J13" s="62">
        <v>0.28776699029126201</v>
      </c>
      <c r="K13" s="63" t="s">
        <v>144</v>
      </c>
    </row>
    <row r="14" spans="2:11" ht="20.25" x14ac:dyDescent="0.3">
      <c r="C14" s="107" t="s">
        <v>17</v>
      </c>
      <c r="D14" s="107"/>
      <c r="E14" s="108">
        <v>1243.3617858303001</v>
      </c>
      <c r="F14" s="108">
        <v>78.167281553398098</v>
      </c>
      <c r="G14" s="108">
        <v>55.752912621359201</v>
      </c>
      <c r="H14" s="108">
        <v>137.36737864077699</v>
      </c>
      <c r="I14" s="108">
        <v>64.579611650485504</v>
      </c>
      <c r="J14" s="108">
        <v>36.487766990291298</v>
      </c>
      <c r="K14" s="109"/>
    </row>
    <row r="15" spans="2:11" ht="18" x14ac:dyDescent="0.25">
      <c r="C15" s="110" t="s">
        <v>18</v>
      </c>
      <c r="D15" s="110"/>
      <c r="E15" s="16">
        <v>8</v>
      </c>
      <c r="F15" s="111"/>
      <c r="G15" s="111"/>
      <c r="H15" s="111"/>
      <c r="I15" s="111"/>
      <c r="J15" s="111"/>
      <c r="K15" s="109"/>
    </row>
    <row r="16" spans="2:11" ht="18" x14ac:dyDescent="0.25">
      <c r="C16" s="110" t="s">
        <v>20</v>
      </c>
      <c r="D16" s="110"/>
      <c r="E16" s="112">
        <v>155.42022322878699</v>
      </c>
      <c r="F16" s="112">
        <v>9.7709101941747605</v>
      </c>
      <c r="G16" s="112">
        <v>6.9691140776699001</v>
      </c>
      <c r="H16" s="112">
        <v>17.170922330097099</v>
      </c>
      <c r="I16" s="112">
        <v>8.0724514563106808</v>
      </c>
      <c r="J16" s="112">
        <v>4.5609708737864096</v>
      </c>
      <c r="K16" s="109"/>
    </row>
    <row r="17" spans="3:11" x14ac:dyDescent="0.2">
      <c r="C17" s="111"/>
      <c r="D17" s="111"/>
      <c r="E17" s="113" t="s">
        <v>27</v>
      </c>
      <c r="F17" s="113" t="s">
        <v>28</v>
      </c>
      <c r="G17" s="113" t="s">
        <v>29</v>
      </c>
      <c r="H17" s="113" t="s">
        <v>30</v>
      </c>
      <c r="I17" s="113" t="s">
        <v>31</v>
      </c>
      <c r="J17" s="113" t="s">
        <v>32</v>
      </c>
      <c r="K17" s="109"/>
    </row>
  </sheetData>
  <conditionalFormatting sqref="E3:J13">
    <cfRule type="cellIs" dxfId="1" priority="2" operator="equal">
      <formula>0</formula>
    </cfRule>
  </conditionalFormatting>
  <dataValidations count="1">
    <dataValidation operator="equal" allowBlank="1" showErrorMessage="1" sqref="C2:K2 D3:K13 C14:K17" xr:uid="{00000000-0002-0000-0400-000000000000}">
      <formula1>0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scale="52" orientation="portrait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equal" allowBlank="1" showErrorMessage="1" xr:uid="{00000000-0002-0000-0400-000001000000}">
          <x14:formula1>
            <xm:f>Source!$C$26:$C$101</xm:f>
          </x14:formula1>
          <x14:formula2>
            <xm:f>0</xm:f>
          </x14:formula2>
          <xm:sqref>C3:C13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13"/>
  <sheetViews>
    <sheetView zoomScale="85" zoomScaleNormal="85" workbookViewId="0">
      <selection activeCell="D6" sqref="D6"/>
    </sheetView>
  </sheetViews>
  <sheetFormatPr defaultColWidth="11.5703125" defaultRowHeight="12.75" x14ac:dyDescent="0.2"/>
  <cols>
    <col min="3" max="3" width="22" customWidth="1"/>
    <col min="4" max="4" width="11" customWidth="1"/>
    <col min="5" max="5" width="8.7109375" customWidth="1"/>
    <col min="6" max="6" width="6" customWidth="1"/>
    <col min="7" max="7" width="9.42578125" customWidth="1"/>
    <col min="8" max="8" width="8.28515625" customWidth="1"/>
    <col min="9" max="9" width="7.5703125" customWidth="1"/>
    <col min="10" max="10" width="8.28515625" customWidth="1"/>
    <col min="11" max="11" width="16.7109375" customWidth="1"/>
  </cols>
  <sheetData>
    <row r="1" spans="2:11" x14ac:dyDescent="0.2">
      <c r="B1" s="114">
        <v>45092</v>
      </c>
      <c r="C1" s="115"/>
      <c r="D1" s="115"/>
      <c r="E1" s="115"/>
      <c r="F1" s="115"/>
      <c r="G1" s="115"/>
      <c r="H1" s="115"/>
      <c r="I1" s="115"/>
      <c r="J1" s="115"/>
      <c r="K1" s="115"/>
    </row>
    <row r="2" spans="2:11" x14ac:dyDescent="0.2">
      <c r="C2" s="115" t="s">
        <v>25</v>
      </c>
      <c r="D2" s="115" t="s">
        <v>26</v>
      </c>
      <c r="E2" s="115" t="s">
        <v>27</v>
      </c>
      <c r="F2" s="115" t="s">
        <v>28</v>
      </c>
      <c r="G2" s="115" t="s">
        <v>29</v>
      </c>
      <c r="H2" s="115" t="s">
        <v>30</v>
      </c>
      <c r="I2" s="115" t="s">
        <v>31</v>
      </c>
      <c r="J2" s="115" t="s">
        <v>32</v>
      </c>
      <c r="K2" s="115" t="s">
        <v>33</v>
      </c>
    </row>
    <row r="3" spans="2:11" x14ac:dyDescent="0.2">
      <c r="C3" s="5" t="s">
        <v>41</v>
      </c>
      <c r="D3" s="6">
        <v>342</v>
      </c>
      <c r="E3" s="61">
        <v>175.56</v>
      </c>
      <c r="F3" s="62">
        <v>0.59279999999999999</v>
      </c>
      <c r="G3" s="62">
        <v>0.88919999999999999</v>
      </c>
      <c r="H3" s="62">
        <v>47.218800000000002</v>
      </c>
      <c r="I3" s="62">
        <v>8.2080000000000002</v>
      </c>
      <c r="J3" s="62">
        <v>35.545200000000001</v>
      </c>
      <c r="K3" s="63" t="s">
        <v>42</v>
      </c>
    </row>
    <row r="4" spans="2:11" x14ac:dyDescent="0.2">
      <c r="C4" s="5" t="s">
        <v>100</v>
      </c>
      <c r="D4" s="6">
        <v>150</v>
      </c>
      <c r="E4" s="61">
        <v>222</v>
      </c>
      <c r="F4" s="62">
        <v>14.91</v>
      </c>
      <c r="G4" s="62">
        <v>18.809999999999999</v>
      </c>
      <c r="H4" s="62">
        <v>1.2</v>
      </c>
      <c r="I4" s="62">
        <v>0</v>
      </c>
      <c r="J4" s="62">
        <v>0</v>
      </c>
      <c r="K4" s="63" t="s">
        <v>101</v>
      </c>
    </row>
    <row r="5" spans="2:11" x14ac:dyDescent="0.2">
      <c r="C5" s="5" t="s">
        <v>121</v>
      </c>
      <c r="D5" s="6">
        <v>90</v>
      </c>
      <c r="E5" s="61">
        <v>363.6</v>
      </c>
      <c r="F5" s="62">
        <v>8.2080000000000002</v>
      </c>
      <c r="G5" s="62">
        <v>13.194000000000001</v>
      </c>
      <c r="H5" s="62">
        <v>59.13</v>
      </c>
      <c r="I5" s="62">
        <v>5.85</v>
      </c>
      <c r="J5" s="62">
        <v>0.72</v>
      </c>
      <c r="K5" s="63" t="s">
        <v>219</v>
      </c>
    </row>
    <row r="6" spans="2:11" x14ac:dyDescent="0.2">
      <c r="C6" s="5" t="s">
        <v>107</v>
      </c>
      <c r="D6" s="6">
        <v>18</v>
      </c>
      <c r="E6" s="61">
        <v>0</v>
      </c>
      <c r="F6" s="62">
        <v>0</v>
      </c>
      <c r="G6" s="62">
        <v>0</v>
      </c>
      <c r="H6" s="62">
        <v>13.5</v>
      </c>
      <c r="I6" s="62">
        <v>13.5</v>
      </c>
      <c r="J6" s="62">
        <v>0</v>
      </c>
      <c r="K6" s="63" t="s">
        <v>108</v>
      </c>
    </row>
    <row r="7" spans="2:11" x14ac:dyDescent="0.2">
      <c r="C7" s="5" t="s">
        <v>110</v>
      </c>
      <c r="D7" s="6">
        <v>32</v>
      </c>
      <c r="E7" s="61">
        <v>112.594795539033</v>
      </c>
      <c r="F7" s="62">
        <v>1.4</v>
      </c>
      <c r="G7" s="62">
        <v>5</v>
      </c>
      <c r="H7" s="62">
        <v>20</v>
      </c>
      <c r="I7" s="62">
        <v>13.6</v>
      </c>
      <c r="J7" s="62">
        <v>0.2</v>
      </c>
      <c r="K7" s="63" t="s">
        <v>111</v>
      </c>
    </row>
    <row r="8" spans="2:11" x14ac:dyDescent="0.2">
      <c r="C8" s="5" t="s">
        <v>164</v>
      </c>
      <c r="D8" s="6">
        <v>22</v>
      </c>
      <c r="E8" s="61">
        <v>65.773195876288696</v>
      </c>
      <c r="F8" s="62">
        <v>0.11</v>
      </c>
      <c r="G8" s="62">
        <v>0.68041237113402098</v>
      </c>
      <c r="H8" s="62">
        <v>17.463917525773201</v>
      </c>
      <c r="I8" s="62">
        <v>0.90721649484536104</v>
      </c>
      <c r="J8" s="62">
        <v>12.927835051546399</v>
      </c>
      <c r="K8" s="63" t="s">
        <v>165</v>
      </c>
    </row>
    <row r="9" spans="2:11" x14ac:dyDescent="0.2">
      <c r="C9" s="5" t="s">
        <v>180</v>
      </c>
      <c r="D9" s="6">
        <v>8</v>
      </c>
      <c r="E9" s="61">
        <v>3.8095238095238102</v>
      </c>
      <c r="F9" s="62">
        <v>0</v>
      </c>
      <c r="G9" s="62">
        <v>0</v>
      </c>
      <c r="H9" s="62">
        <v>0.952380952380952</v>
      </c>
      <c r="I9" s="62">
        <v>0</v>
      </c>
      <c r="J9" s="62">
        <v>0.952380952380952</v>
      </c>
      <c r="K9" s="63" t="s">
        <v>181</v>
      </c>
    </row>
    <row r="10" spans="2:11" ht="20.25" x14ac:dyDescent="0.3">
      <c r="C10" s="116" t="s">
        <v>17</v>
      </c>
      <c r="D10" s="116"/>
      <c r="E10" s="117">
        <v>943.33751522484602</v>
      </c>
      <c r="F10" s="117">
        <v>25.220800000000001</v>
      </c>
      <c r="G10" s="117">
        <v>38.573612371133997</v>
      </c>
      <c r="H10" s="117">
        <v>159.465098478154</v>
      </c>
      <c r="I10" s="117">
        <v>42.065216494845401</v>
      </c>
      <c r="J10" s="117">
        <v>50.345416003927298</v>
      </c>
      <c r="K10" s="118"/>
    </row>
    <row r="11" spans="2:11" ht="18" x14ac:dyDescent="0.25">
      <c r="C11" s="119" t="s">
        <v>18</v>
      </c>
      <c r="D11" s="119"/>
      <c r="E11" s="119">
        <v>8</v>
      </c>
      <c r="F11" s="120"/>
      <c r="G11" s="120"/>
      <c r="H11" s="120"/>
      <c r="I11" s="120"/>
      <c r="J11" s="120"/>
      <c r="K11" s="118"/>
    </row>
    <row r="12" spans="2:11" ht="18" x14ac:dyDescent="0.25">
      <c r="C12" s="119" t="s">
        <v>20</v>
      </c>
      <c r="D12" s="119"/>
      <c r="E12" s="121">
        <v>117.91718940310599</v>
      </c>
      <c r="F12" s="121">
        <v>3.1526000000000001</v>
      </c>
      <c r="G12" s="121">
        <v>4.8217015463917496</v>
      </c>
      <c r="H12" s="121">
        <v>19.9331373097693</v>
      </c>
      <c r="I12" s="121">
        <v>5.2581520618556699</v>
      </c>
      <c r="J12" s="121">
        <v>6.2931770004909202</v>
      </c>
      <c r="K12" s="118"/>
    </row>
    <row r="13" spans="2:11" x14ac:dyDescent="0.2">
      <c r="C13" s="120"/>
      <c r="D13" s="120"/>
      <c r="E13" s="122" t="s">
        <v>27</v>
      </c>
      <c r="F13" s="122" t="s">
        <v>28</v>
      </c>
      <c r="G13" s="122" t="s">
        <v>29</v>
      </c>
      <c r="H13" s="122" t="s">
        <v>30</v>
      </c>
      <c r="I13" s="122" t="s">
        <v>31</v>
      </c>
      <c r="J13" s="122" t="s">
        <v>32</v>
      </c>
      <c r="K13" s="118"/>
    </row>
  </sheetData>
  <conditionalFormatting sqref="E3:J9">
    <cfRule type="cellIs" dxfId="0" priority="2" operator="equal">
      <formula>0</formula>
    </cfRule>
  </conditionalFormatting>
  <dataValidations count="1">
    <dataValidation operator="equal" allowBlank="1" showErrorMessage="1" sqref="C1:K2 D3:K9 C10:K13" xr:uid="{00000000-0002-0000-0500-000000000000}">
      <formula1>0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scale="52" orientation="portrait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equal" allowBlank="1" showErrorMessage="1" xr:uid="{00000000-0002-0000-0500-000001000000}">
          <x14:formula1>
            <xm:f>Source!$C$26:$C$101</xm:f>
          </x14:formula1>
          <x14:formula2>
            <xm:f>0</xm:f>
          </x14:formula2>
          <xm:sqref>C3:C9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Source</vt:lpstr>
      <vt:lpstr>hi protein</vt:lpstr>
      <vt:lpstr>simple gelatin 13g</vt:lpstr>
      <vt:lpstr>hi protein 17g</vt:lpstr>
      <vt:lpstr>Oct 16 batch</vt:lpstr>
      <vt:lpstr>June14batch</vt:lpstr>
      <vt:lpstr>June15batch</vt:lpstr>
      <vt:lpstr>Source!Btbl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Sandy G Cabanes</cp:lastModifiedBy>
  <cp:revision>85</cp:revision>
  <dcterms:created xsi:type="dcterms:W3CDTF">2023-05-17T15:57:53Z</dcterms:created>
  <dcterms:modified xsi:type="dcterms:W3CDTF">2023-10-16T03:48:32Z</dcterms:modified>
  <dc:language>en-GB</dc:language>
</cp:coreProperties>
</file>